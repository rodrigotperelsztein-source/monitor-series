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Informes Mensuales/Bases Mensuales/"/>
    </mc:Choice>
  </mc:AlternateContent>
  <xr:revisionPtr revIDLastSave="669" documentId="13_ncr:1_{43C04889-9455-4B95-8782-5A545FB1A48E}" xr6:coauthVersionLast="47" xr6:coauthVersionMax="47" xr10:uidLastSave="{EDD26E17-56C9-441D-A667-9692662479DB}"/>
  <bookViews>
    <workbookView xWindow="28680" yWindow="-120" windowWidth="29040" windowHeight="15720" xr2:uid="{00000000-000D-0000-FFFF-FFFF00000000}"/>
  </bookViews>
  <sheets>
    <sheet name="BALANCE" sheetId="1" r:id="rId1"/>
  </sheets>
  <definedNames>
    <definedName name="_xlnm._FilterDatabase" localSheetId="0" hidden="1">BALANCE!$A$23:$E$507</definedName>
    <definedName name="gra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1" i="1" l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U17" i="1"/>
  <c r="AT17" i="1"/>
</calcChain>
</file>

<file path=xl/sharedStrings.xml><?xml version="1.0" encoding="utf-8"?>
<sst xmlns="http://schemas.openxmlformats.org/spreadsheetml/2006/main" count="19" uniqueCount="19">
  <si>
    <t>Unidad: GWh</t>
  </si>
  <si>
    <t>BALANCE</t>
  </si>
  <si>
    <t>TIPO</t>
  </si>
  <si>
    <t>DEMANDA</t>
  </si>
  <si>
    <t>TOTAL DEMANDA</t>
  </si>
  <si>
    <t>OFERTA</t>
  </si>
  <si>
    <t>TOTAL GENERACION</t>
  </si>
  <si>
    <t>Nuclear</t>
  </si>
  <si>
    <t>Térmica</t>
  </si>
  <si>
    <t>Gran Usuario</t>
  </si>
  <si>
    <t>Distribuidor</t>
  </si>
  <si>
    <t>Bombeo</t>
  </si>
  <si>
    <t>Perdidas</t>
  </si>
  <si>
    <t>Importacion</t>
  </si>
  <si>
    <t>Exportacion</t>
  </si>
  <si>
    <t>Consumos Internos</t>
  </si>
  <si>
    <t>BALANCE TOTAL PASO MENSUAL</t>
  </si>
  <si>
    <t>Renovable (Ley 27 191)</t>
  </si>
  <si>
    <t>Hidráulica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</si>
</sst>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_ * #,##0_ ;_ * \-#,##0_ ;_ * &quot;-&quot;??_ ;_ @_ "/>
    <numFmt numFmtId="166" formatCode="#,##0.0"/>
    <numFmt numFmtId="167" formatCode="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Proxima Nova Rg"/>
      <family val="3"/>
    </font>
    <font>
      <sz val="11"/>
      <color theme="1"/>
      <name val="Proxima Nova Rg"/>
      <family val="3"/>
    </font>
    <font>
      <b/>
      <sz val="10"/>
      <color indexed="18"/>
      <name val="Proxima Nova Rg"/>
      <family val="3"/>
    </font>
    <font>
      <i/>
      <sz val="10"/>
      <color indexed="18"/>
      <name val="Proxima Nova Rg"/>
      <family val="3"/>
    </font>
    <font>
      <b/>
      <sz val="11"/>
      <color theme="0"/>
      <name val="Proxima Nova Rg"/>
      <family val="3"/>
    </font>
    <font>
      <sz val="11"/>
      <color rgb="FF000000"/>
      <name val="Proxima Nova Rg"/>
      <family val="3"/>
    </font>
    <font>
      <b/>
      <sz val="11"/>
      <color rgb="FF000000"/>
      <name val="Proxima Nova Rg"/>
      <family val="3"/>
    </font>
    <font>
      <b/>
      <sz val="11"/>
      <color rgb="FFFFFFFF"/>
      <name val="Proxima Nova Rg"/>
      <family val="3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C7A"/>
        <bgColor theme="4"/>
      </patternFill>
    </fill>
    <fill>
      <patternFill patternType="solid">
        <fgColor rgb="FFE23348"/>
        <bgColor indexed="64"/>
      </patternFill>
    </fill>
    <fill>
      <patternFill patternType="solid">
        <fgColor rgb="FF002C7A"/>
        <bgColor indexed="64"/>
      </patternFill>
    </fill>
    <fill>
      <patternFill patternType="solid">
        <fgColor rgb="FFF8CCD1"/>
        <bgColor rgb="FF000000"/>
      </patternFill>
    </fill>
    <fill>
      <patternFill patternType="solid">
        <fgColor rgb="FFFDEDEF"/>
        <bgColor rgb="FF000000"/>
      </patternFill>
    </fill>
    <fill>
      <patternFill patternType="solid">
        <fgColor rgb="FFF5B9C0"/>
        <bgColor rgb="FFF9D7DB"/>
      </patternFill>
    </fill>
    <fill>
      <patternFill patternType="solid">
        <fgColor rgb="FFE23348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ED8592"/>
      </top>
      <bottom style="thin">
        <color rgb="FFED8592"/>
      </bottom>
      <diagonal/>
    </border>
    <border>
      <left/>
      <right/>
      <top style="thin">
        <color rgb="FFED8592"/>
      </top>
      <bottom style="thin">
        <color rgb="FFED859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3" fillId="0" borderId="0" xfId="0" applyFont="1"/>
    <xf numFmtId="2" fontId="4" fillId="0" borderId="0" xfId="0" applyNumberFormat="1" applyFont="1"/>
    <xf numFmtId="2" fontId="5" fillId="0" borderId="0" xfId="0" applyNumberFormat="1" applyFont="1"/>
    <xf numFmtId="1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17" fontId="2" fillId="4" borderId="0" xfId="0" applyNumberFormat="1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3" fontId="0" fillId="0" borderId="0" xfId="0" applyNumberFormat="1"/>
    <xf numFmtId="167" fontId="3" fillId="0" borderId="0" xfId="0" applyNumberFormat="1" applyFont="1"/>
    <xf numFmtId="17" fontId="7" fillId="0" borderId="4" xfId="2" applyNumberFormat="1" applyFont="1" applyBorder="1" applyAlignment="1">
      <alignment horizontal="center" vertical="center"/>
    </xf>
    <xf numFmtId="3" fontId="7" fillId="0" borderId="5" xfId="2" applyNumberFormat="1" applyFont="1" applyBorder="1" applyAlignment="1">
      <alignment horizontal="center" vertical="center"/>
    </xf>
    <xf numFmtId="17" fontId="7" fillId="8" borderId="4" xfId="2" applyNumberFormat="1" applyFont="1" applyFill="1" applyBorder="1" applyAlignment="1">
      <alignment horizontal="center" vertical="center"/>
    </xf>
    <xf numFmtId="3" fontId="7" fillId="8" borderId="5" xfId="2" applyNumberFormat="1" applyFont="1" applyFill="1" applyBorder="1" applyAlignment="1">
      <alignment horizontal="center" vertical="center"/>
    </xf>
    <xf numFmtId="0" fontId="9" fillId="9" borderId="3" xfId="2" applyFont="1" applyFill="1" applyBorder="1" applyAlignment="1">
      <alignment horizontal="center" vertical="center"/>
    </xf>
    <xf numFmtId="3" fontId="9" fillId="9" borderId="0" xfId="2" applyNumberFormat="1" applyFont="1" applyFill="1" applyAlignment="1">
      <alignment horizontal="center" vertical="center"/>
    </xf>
  </cellXfs>
  <cellStyles count="3">
    <cellStyle name="Millares 2 2" xfId="1" xr:uid="{00000000-0005-0000-0000-000000000000}"/>
    <cellStyle name="Normal" xfId="0" builtinId="0"/>
    <cellStyle name="Normal 2" xfId="2" xr:uid="{883915C9-47A7-4A86-8D85-1533E13881A1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DEDEF"/>
      <color rgb="FFFADADE"/>
      <color rgb="FFF8CCD1"/>
      <color rgb="FFF5B9C0"/>
      <color rgb="FFE23348"/>
      <color rgb="FFCDDFFF"/>
      <color rgb="FFBDD5FF"/>
      <color rgb="FF8FB7FF"/>
      <color rgb="FF4B8BFF"/>
      <color rgb="FF004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7B099F-BFC9-41C6-9622-A01B5E618BBF}">
  <we:reference id="WA200005271" version="2.5.5.0" store="Omex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EM507"/>
  <sheetViews>
    <sheetView tabSelected="1" zoomScaleNormal="100" workbookViewId="0"/>
  </sheetViews>
  <sheetFormatPr baseColWidth="10" defaultColWidth="11.44140625" defaultRowHeight="14.4" x14ac:dyDescent="0.3"/>
  <cols>
    <col min="1" max="1" width="14.5546875" style="1" customWidth="1"/>
    <col min="2" max="2" width="28.6640625" style="1" bestFit="1" customWidth="1"/>
    <col min="3" max="3" width="14.6640625" style="1" customWidth="1"/>
    <col min="4" max="4" width="25.5546875" style="1" bestFit="1" customWidth="1"/>
    <col min="5" max="5" width="17.109375" style="1" bestFit="1" customWidth="1"/>
    <col min="6" max="6" width="17.33203125" style="1" bestFit="1" customWidth="1"/>
    <col min="7" max="7" width="24" style="1" bestFit="1" customWidth="1"/>
    <col min="8" max="8" width="22.44140625" style="1" bestFit="1" customWidth="1"/>
    <col min="9" max="11" width="12.33203125" style="1" bestFit="1" customWidth="1"/>
    <col min="12" max="12" width="15.44140625" style="1" bestFit="1" customWidth="1"/>
    <col min="13" max="13" width="12.5546875" style="1" bestFit="1" customWidth="1"/>
    <col min="14" max="14" width="13.5546875" style="1" bestFit="1" customWidth="1"/>
    <col min="15" max="15" width="12.33203125" style="1" bestFit="1" customWidth="1"/>
    <col min="16" max="16" width="13.5546875" style="1" bestFit="1" customWidth="1"/>
    <col min="17" max="17" width="12.33203125" style="1" bestFit="1" customWidth="1"/>
    <col min="18" max="18" width="13.5546875" style="1" bestFit="1" customWidth="1"/>
    <col min="19" max="19" width="12.33203125" style="1" bestFit="1" customWidth="1"/>
    <col min="20" max="20" width="13.5546875" style="1" bestFit="1" customWidth="1"/>
    <col min="21" max="21" width="12.33203125" style="1" bestFit="1" customWidth="1"/>
    <col min="22" max="22" width="13.5546875" style="1" bestFit="1" customWidth="1"/>
    <col min="23" max="23" width="12.33203125" style="1" bestFit="1" customWidth="1"/>
    <col min="24" max="24" width="13.5546875" style="1" bestFit="1" customWidth="1"/>
    <col min="25" max="25" width="12.33203125" style="1" bestFit="1" customWidth="1"/>
    <col min="26" max="26" width="13.5546875" style="1" bestFit="1" customWidth="1"/>
    <col min="27" max="27" width="12.33203125" style="1" bestFit="1" customWidth="1"/>
    <col min="28" max="28" width="14.5546875" style="1" bestFit="1" customWidth="1"/>
    <col min="29" max="29" width="12.33203125" style="1" bestFit="1" customWidth="1"/>
    <col min="30" max="30" width="14.5546875" style="1" bestFit="1" customWidth="1"/>
    <col min="31" max="31" width="12.33203125" style="1" bestFit="1" customWidth="1"/>
    <col min="32" max="32" width="14.5546875" style="1" bestFit="1" customWidth="1"/>
    <col min="33" max="33" width="12.33203125" style="1" bestFit="1" customWidth="1"/>
    <col min="34" max="34" width="13.5546875" style="1" bestFit="1" customWidth="1"/>
    <col min="35" max="35" width="12.33203125" style="1" bestFit="1" customWidth="1"/>
    <col min="36" max="36" width="13.5546875" style="1" bestFit="1" customWidth="1"/>
    <col min="37" max="37" width="12.33203125" style="1" bestFit="1" customWidth="1"/>
    <col min="38" max="38" width="13.5546875" style="1" bestFit="1" customWidth="1"/>
    <col min="39" max="40" width="12.33203125" style="1" bestFit="1" customWidth="1"/>
    <col min="41" max="41" width="14.5546875" style="1" bestFit="1" customWidth="1"/>
    <col min="42" max="42" width="12.33203125" style="1" bestFit="1" customWidth="1"/>
    <col min="43" max="43" width="14.5546875" style="1" bestFit="1" customWidth="1"/>
    <col min="44" max="44" width="20.44140625" style="1" bestFit="1" customWidth="1"/>
    <col min="45" max="47" width="13.5546875" style="1" bestFit="1" customWidth="1"/>
    <col min="48" max="48" width="12.33203125" style="1" bestFit="1" customWidth="1"/>
    <col min="49" max="49" width="13.5546875" style="1" bestFit="1" customWidth="1"/>
    <col min="50" max="50" width="12.33203125" style="1" bestFit="1" customWidth="1"/>
    <col min="51" max="51" width="13.5546875" style="1" bestFit="1" customWidth="1"/>
    <col min="52" max="52" width="12.33203125" style="1" bestFit="1" customWidth="1"/>
    <col min="53" max="53" width="13.5546875" style="1" bestFit="1" customWidth="1"/>
    <col min="54" max="54" width="12.33203125" style="1" bestFit="1" customWidth="1"/>
    <col min="55" max="55" width="13.5546875" style="1" bestFit="1" customWidth="1"/>
    <col min="56" max="56" width="12.33203125" style="1" bestFit="1" customWidth="1"/>
    <col min="57" max="57" width="13.5546875" style="1" bestFit="1" customWidth="1"/>
    <col min="58" max="58" width="12.33203125" style="1" bestFit="1" customWidth="1"/>
    <col min="59" max="59" width="13.5546875" style="1" bestFit="1" customWidth="1"/>
    <col min="60" max="60" width="12.33203125" style="1" bestFit="1" customWidth="1"/>
    <col min="61" max="61" width="13.5546875" style="1" bestFit="1" customWidth="1"/>
    <col min="62" max="62" width="12.33203125" style="1" bestFit="1" customWidth="1"/>
    <col min="63" max="63" width="14.5546875" style="1" bestFit="1" customWidth="1"/>
    <col min="64" max="64" width="12.33203125" style="1" bestFit="1" customWidth="1"/>
    <col min="65" max="65" width="14.5546875" style="1" bestFit="1" customWidth="1"/>
    <col min="66" max="66" width="12.33203125" style="1" bestFit="1" customWidth="1"/>
    <col min="67" max="67" width="14.5546875" style="1" bestFit="1" customWidth="1"/>
    <col min="68" max="68" width="12.33203125" style="1" bestFit="1" customWidth="1"/>
    <col min="69" max="69" width="13.5546875" style="1" bestFit="1" customWidth="1"/>
    <col min="70" max="70" width="12.33203125" style="1" bestFit="1" customWidth="1"/>
    <col min="71" max="71" width="13.5546875" style="1" bestFit="1" customWidth="1"/>
    <col min="72" max="72" width="12.33203125" style="1" bestFit="1" customWidth="1"/>
    <col min="73" max="73" width="13.5546875" style="1" bestFit="1" customWidth="1"/>
    <col min="74" max="74" width="12.33203125" style="1" bestFit="1" customWidth="1"/>
    <col min="75" max="75" width="13.5546875" style="1" bestFit="1" customWidth="1"/>
    <col min="76" max="76" width="12.5546875" style="1" bestFit="1" customWidth="1"/>
    <col min="77" max="16384" width="11.44140625" style="1"/>
  </cols>
  <sheetData>
    <row r="1" spans="1:47" ht="21.6" x14ac:dyDescent="0.3">
      <c r="A1" s="8" t="s">
        <v>16</v>
      </c>
      <c r="B1" s="8"/>
      <c r="C1" s="8"/>
      <c r="D1" s="8"/>
      <c r="E1" s="8"/>
    </row>
    <row r="2" spans="1:47" x14ac:dyDescent="0.3">
      <c r="A2" s="2" t="s">
        <v>0</v>
      </c>
    </row>
    <row r="3" spans="1:47" x14ac:dyDescent="0.3">
      <c r="A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47" x14ac:dyDescent="0.3">
      <c r="A4" s="9" t="s">
        <v>1</v>
      </c>
      <c r="B4" s="9" t="s">
        <v>2</v>
      </c>
      <c r="C4" s="17">
        <v>44927</v>
      </c>
      <c r="D4" s="17">
        <v>44958</v>
      </c>
      <c r="E4" s="17">
        <v>44986</v>
      </c>
      <c r="F4" s="17">
        <v>45017</v>
      </c>
      <c r="G4" s="17">
        <v>45047</v>
      </c>
      <c r="H4" s="17">
        <v>45078</v>
      </c>
      <c r="I4" s="17">
        <v>45108</v>
      </c>
      <c r="J4" s="17">
        <v>45139</v>
      </c>
      <c r="K4" s="17">
        <v>45170</v>
      </c>
      <c r="L4" s="17">
        <v>45200</v>
      </c>
      <c r="M4" s="17">
        <v>45231</v>
      </c>
      <c r="N4" s="17">
        <v>45261</v>
      </c>
      <c r="O4" s="17">
        <v>45292</v>
      </c>
      <c r="P4" s="17">
        <v>45323</v>
      </c>
      <c r="Q4" s="17">
        <v>45352</v>
      </c>
      <c r="R4" s="17">
        <v>45383</v>
      </c>
      <c r="S4" s="17">
        <v>45413</v>
      </c>
      <c r="T4" s="17">
        <v>45444</v>
      </c>
      <c r="U4" s="17">
        <v>45474</v>
      </c>
      <c r="V4" s="17">
        <v>45505</v>
      </c>
      <c r="W4" s="17">
        <v>45536</v>
      </c>
      <c r="X4" s="17">
        <v>45566</v>
      </c>
      <c r="Y4" s="17">
        <v>45597</v>
      </c>
      <c r="Z4" s="17">
        <v>45627</v>
      </c>
      <c r="AA4" s="17">
        <v>45658</v>
      </c>
      <c r="AB4" s="17">
        <v>45689</v>
      </c>
      <c r="AC4" s="17">
        <v>45717</v>
      </c>
      <c r="AD4" s="17">
        <v>45748</v>
      </c>
      <c r="AE4" s="17">
        <v>45778</v>
      </c>
      <c r="AF4" s="17">
        <v>45809</v>
      </c>
      <c r="AG4" s="17">
        <v>45839</v>
      </c>
      <c r="AH4" s="17">
        <v>45870</v>
      </c>
      <c r="AI4" s="17">
        <v>45901</v>
      </c>
      <c r="AJ4" s="17">
        <v>45931</v>
      </c>
      <c r="AK4" s="17">
        <v>45962</v>
      </c>
      <c r="AL4" s="17">
        <v>45992</v>
      </c>
      <c r="AM4" s="17">
        <v>46023</v>
      </c>
      <c r="AN4" s="17">
        <v>46054</v>
      </c>
      <c r="AO4" s="17">
        <v>46082</v>
      </c>
      <c r="AP4" s="17">
        <v>46113</v>
      </c>
      <c r="AQ4" s="17">
        <v>46143</v>
      </c>
      <c r="AR4" s="17">
        <v>46174</v>
      </c>
      <c r="AS4" s="17">
        <v>46204</v>
      </c>
      <c r="AT4" s="17">
        <v>46235</v>
      </c>
      <c r="AU4" s="17">
        <v>46266</v>
      </c>
    </row>
    <row r="5" spans="1:47" x14ac:dyDescent="0.3">
      <c r="A5" s="10" t="s">
        <v>3</v>
      </c>
      <c r="B5" s="22" t="s">
        <v>10</v>
      </c>
      <c r="C5" s="23">
        <v>11649.229885999999</v>
      </c>
      <c r="D5" s="23">
        <v>10094.108665</v>
      </c>
      <c r="E5" s="23">
        <v>11943.946118</v>
      </c>
      <c r="F5" s="23">
        <v>8117.1643340000001</v>
      </c>
      <c r="G5" s="23">
        <v>8820.4785510000002</v>
      </c>
      <c r="H5" s="23">
        <v>10033.042019999999</v>
      </c>
      <c r="I5" s="23">
        <v>10598.500301999999</v>
      </c>
      <c r="J5" s="23">
        <v>9788.0530429999999</v>
      </c>
      <c r="K5" s="23">
        <v>8989.7437550000013</v>
      </c>
      <c r="L5" s="23">
        <v>8491.7098679999999</v>
      </c>
      <c r="M5" s="23">
        <v>9081.7903310000002</v>
      </c>
      <c r="N5" s="23">
        <v>9891.2386600000009</v>
      </c>
      <c r="O5" s="23">
        <v>11187.346659999999</v>
      </c>
      <c r="P5" s="23">
        <v>10962.277630999999</v>
      </c>
      <c r="Q5" s="23">
        <v>10019.131596000001</v>
      </c>
      <c r="R5" s="23">
        <v>8187.5660669999997</v>
      </c>
      <c r="S5" s="23">
        <v>10244.016098</v>
      </c>
      <c r="T5" s="23">
        <v>9331.8698270000004</v>
      </c>
      <c r="U5" s="23">
        <v>11214.034077</v>
      </c>
      <c r="V5" s="23">
        <v>10142.496426000002</v>
      </c>
      <c r="W5" s="23">
        <v>8264.3546019999994</v>
      </c>
      <c r="X5" s="23">
        <v>8699.9817679999996</v>
      </c>
      <c r="Y5" s="23">
        <v>9050.4889320000002</v>
      </c>
      <c r="Z5" s="23">
        <v>9619.9352139999992</v>
      </c>
      <c r="AA5" s="23">
        <v>11685.705619999999</v>
      </c>
      <c r="AB5" s="23">
        <v>10961.448560000001</v>
      </c>
      <c r="AC5" s="23">
        <v>9669.7251960000012</v>
      </c>
      <c r="AD5" s="23">
        <v>7908.887745</v>
      </c>
      <c r="AE5" s="23">
        <v>8958.4172390000003</v>
      </c>
      <c r="AF5" s="23">
        <v>10755.918668</v>
      </c>
      <c r="AG5" s="23">
        <v>10858.039688999999</v>
      </c>
      <c r="AH5" s="23">
        <v>9720.2355829999997</v>
      </c>
      <c r="AI5" s="23">
        <v>8596.6842280000001</v>
      </c>
      <c r="AJ5" s="23">
        <v>8515.7685160000001</v>
      </c>
      <c r="AK5" s="23">
        <v>8683.7388110000011</v>
      </c>
      <c r="AL5" s="23">
        <v>11099.393868000001</v>
      </c>
      <c r="AM5" s="23">
        <v>11132.546914</v>
      </c>
      <c r="AN5" s="23">
        <v>9846.4007929999989</v>
      </c>
      <c r="AO5" s="23">
        <v>9705.4875160000011</v>
      </c>
      <c r="AP5" s="23">
        <v>8433.2856470000006</v>
      </c>
      <c r="AQ5" s="23">
        <v>9901.3854100000008</v>
      </c>
      <c r="AR5" s="23">
        <v>10454.099445</v>
      </c>
      <c r="AS5" s="23">
        <v>10854.349193</v>
      </c>
      <c r="AT5" s="23">
        <v>10194.096874999999</v>
      </c>
      <c r="AU5" s="23">
        <v>8963.3190160000013</v>
      </c>
    </row>
    <row r="6" spans="1:47" x14ac:dyDescent="0.3">
      <c r="A6" s="10"/>
      <c r="B6" s="24" t="s">
        <v>9</v>
      </c>
      <c r="C6" s="25">
        <v>1944.2527080000002</v>
      </c>
      <c r="D6" s="25">
        <v>1812.1672169999999</v>
      </c>
      <c r="E6" s="25">
        <v>2052.9584869999999</v>
      </c>
      <c r="F6" s="25">
        <v>1929.0481440000001</v>
      </c>
      <c r="G6" s="25">
        <v>1994.9911729999999</v>
      </c>
      <c r="H6" s="25">
        <v>2038.7392159999999</v>
      </c>
      <c r="I6" s="25">
        <v>1878.7256010000001</v>
      </c>
      <c r="J6" s="25">
        <v>1967.9474560000001</v>
      </c>
      <c r="K6" s="25">
        <v>1972.500702</v>
      </c>
      <c r="L6" s="25">
        <v>1962.4159259999999</v>
      </c>
      <c r="M6" s="25">
        <v>1959.020812</v>
      </c>
      <c r="N6" s="25">
        <v>1871.7653680000001</v>
      </c>
      <c r="O6" s="25">
        <v>1902.8603209999999</v>
      </c>
      <c r="P6" s="25">
        <v>1888.846487</v>
      </c>
      <c r="Q6" s="25">
        <v>1937.4952450000001</v>
      </c>
      <c r="R6" s="25">
        <v>1817.3551499999999</v>
      </c>
      <c r="S6" s="25">
        <v>1969.3223529999998</v>
      </c>
      <c r="T6" s="25">
        <v>1894.3539969999999</v>
      </c>
      <c r="U6" s="25">
        <v>2012.270215</v>
      </c>
      <c r="V6" s="25">
        <v>2029.1102190000001</v>
      </c>
      <c r="W6" s="25">
        <v>1972.8381910000001</v>
      </c>
      <c r="X6" s="25">
        <v>1978.9393659999998</v>
      </c>
      <c r="Y6" s="25">
        <v>2013.517032</v>
      </c>
      <c r="Z6" s="25">
        <v>1878.9933109999999</v>
      </c>
      <c r="AA6" s="25">
        <v>1919.806943</v>
      </c>
      <c r="AB6" s="25">
        <v>1946.610361</v>
      </c>
      <c r="AC6" s="25">
        <v>1983.4445780000001</v>
      </c>
      <c r="AD6" s="25">
        <v>1913.937165</v>
      </c>
      <c r="AE6" s="25">
        <v>1986.1439069999999</v>
      </c>
      <c r="AF6" s="25">
        <v>1929.225072</v>
      </c>
      <c r="AG6" s="25">
        <v>2043.578861</v>
      </c>
      <c r="AH6" s="25">
        <v>1998.5207560000001</v>
      </c>
      <c r="AI6" s="25">
        <v>2034.8563019999999</v>
      </c>
      <c r="AJ6" s="25">
        <v>2075.5670249999998</v>
      </c>
      <c r="AK6" s="25">
        <v>2027.5953810000001</v>
      </c>
      <c r="AL6" s="25">
        <v>1977.6533629999999</v>
      </c>
      <c r="AM6" s="25">
        <v>2012.827612</v>
      </c>
      <c r="AN6" s="25">
        <v>1934.215524</v>
      </c>
      <c r="AO6" s="25">
        <v>2239.547822</v>
      </c>
      <c r="AP6" s="25">
        <v>2146.0571850000001</v>
      </c>
      <c r="AQ6" s="25">
        <v>2250.1457730000002</v>
      </c>
      <c r="AR6" s="25">
        <v>2187.071692</v>
      </c>
      <c r="AS6" s="25">
        <v>2208.865436</v>
      </c>
      <c r="AT6" s="25">
        <v>2237.93084</v>
      </c>
      <c r="AU6" s="25">
        <v>2246.5970619999998</v>
      </c>
    </row>
    <row r="7" spans="1:47" x14ac:dyDescent="0.3">
      <c r="A7" s="10"/>
      <c r="B7" s="22" t="s">
        <v>14</v>
      </c>
      <c r="C7" s="23">
        <v>0</v>
      </c>
      <c r="D7" s="23">
        <v>8.5510000000000002</v>
      </c>
      <c r="E7" s="23">
        <v>0.52688199999999996</v>
      </c>
      <c r="F7" s="23">
        <v>5.599583</v>
      </c>
      <c r="G7" s="23">
        <v>2.6448170000000002</v>
      </c>
      <c r="H7" s="23">
        <v>9.0300000000000005E-4</v>
      </c>
      <c r="I7" s="23">
        <v>1.5789999999999999E-3</v>
      </c>
      <c r="J7" s="23">
        <v>5.2373819999999993</v>
      </c>
      <c r="K7" s="23">
        <v>11.068620000000001</v>
      </c>
      <c r="L7" s="23">
        <v>42.149158</v>
      </c>
      <c r="M7" s="23">
        <v>16.185974999999999</v>
      </c>
      <c r="N7" s="23">
        <v>5.7390240000000006</v>
      </c>
      <c r="O7" s="23">
        <v>420.96241399999997</v>
      </c>
      <c r="P7" s="23">
        <v>64.807534000000004</v>
      </c>
      <c r="Q7" s="23">
        <v>50.589044999999999</v>
      </c>
      <c r="R7" s="23">
        <v>128.14041499999999</v>
      </c>
      <c r="S7" s="23">
        <v>2.8907600000000002</v>
      </c>
      <c r="T7" s="23">
        <v>0.76016499999999998</v>
      </c>
      <c r="U7" s="23">
        <v>2.6004000000000003E-2</v>
      </c>
      <c r="V7" s="23">
        <v>6.6200000000000005E-4</v>
      </c>
      <c r="W7" s="23">
        <v>94.136488999999997</v>
      </c>
      <c r="X7" s="23">
        <v>126.81878399999999</v>
      </c>
      <c r="Y7" s="23">
        <v>65.014622000000003</v>
      </c>
      <c r="Z7" s="23">
        <v>15.953592</v>
      </c>
      <c r="AA7" s="23">
        <v>51.463925000000003</v>
      </c>
      <c r="AB7" s="23">
        <v>39.429490999999999</v>
      </c>
      <c r="AC7" s="23">
        <v>116.49852300000001</v>
      </c>
      <c r="AD7" s="23">
        <v>150.689347</v>
      </c>
      <c r="AE7" s="23">
        <v>29.798415000000002</v>
      </c>
      <c r="AF7" s="23">
        <v>5.8656040000000003</v>
      </c>
      <c r="AG7" s="23">
        <v>2.8625000000000001E-2</v>
      </c>
      <c r="AH7" s="23">
        <v>4.1199999999999999E-4</v>
      </c>
      <c r="AI7" s="23">
        <v>3.4097269999999997</v>
      </c>
      <c r="AJ7" s="23">
        <v>21.448344000000002</v>
      </c>
      <c r="AK7" s="23">
        <v>8.9229640000000003</v>
      </c>
      <c r="AL7" s="23">
        <v>81.031793999999991</v>
      </c>
      <c r="AM7" s="23">
        <v>58.199075000000001</v>
      </c>
      <c r="AN7" s="23">
        <v>66.791114000000007</v>
      </c>
      <c r="AO7" s="23">
        <v>116.505709</v>
      </c>
      <c r="AP7" s="23">
        <v>23.979960999999999</v>
      </c>
      <c r="AQ7" s="23">
        <v>9.1679999999999991E-3</v>
      </c>
      <c r="AR7" s="23">
        <v>1.5465999999999999E-2</v>
      </c>
      <c r="AS7" s="23">
        <v>2.257749</v>
      </c>
      <c r="AT7" s="23">
        <v>2.7776879999999999</v>
      </c>
      <c r="AU7" s="23">
        <v>16.169668999999999</v>
      </c>
    </row>
    <row r="8" spans="1:47" x14ac:dyDescent="0.3">
      <c r="A8" s="10"/>
      <c r="B8" s="24" t="s">
        <v>11</v>
      </c>
      <c r="C8" s="25">
        <v>114.081988</v>
      </c>
      <c r="D8" s="25">
        <v>67.778581000000003</v>
      </c>
      <c r="E8" s="25">
        <v>52.344813000000002</v>
      </c>
      <c r="F8" s="25">
        <v>44.838377999999999</v>
      </c>
      <c r="G8" s="25">
        <v>56.872475000000001</v>
      </c>
      <c r="H8" s="25">
        <v>66.015585999999999</v>
      </c>
      <c r="I8" s="25">
        <v>68.802316000000005</v>
      </c>
      <c r="J8" s="25">
        <v>92.288092999999989</v>
      </c>
      <c r="K8" s="25">
        <v>71.203657000000007</v>
      </c>
      <c r="L8" s="25">
        <v>46.349133999999999</v>
      </c>
      <c r="M8" s="25">
        <v>63.360562999999999</v>
      </c>
      <c r="N8" s="25">
        <v>73.765219000000002</v>
      </c>
      <c r="O8" s="25">
        <v>45.190470999999995</v>
      </c>
      <c r="P8" s="25">
        <v>30.678408999999998</v>
      </c>
      <c r="Q8" s="25">
        <v>55.608144999999993</v>
      </c>
      <c r="R8" s="25">
        <v>58.567228</v>
      </c>
      <c r="S8" s="25">
        <v>42.049544999999995</v>
      </c>
      <c r="T8" s="25">
        <v>88.310957000000002</v>
      </c>
      <c r="U8" s="25">
        <v>64.867222999999996</v>
      </c>
      <c r="V8" s="25">
        <v>34.058861999999998</v>
      </c>
      <c r="W8" s="25">
        <v>42.592627</v>
      </c>
      <c r="X8" s="25">
        <v>24.463210999999998</v>
      </c>
      <c r="Y8" s="25">
        <v>30.213198000000002</v>
      </c>
      <c r="Z8" s="25">
        <v>28.785504</v>
      </c>
      <c r="AA8" s="25">
        <v>26.699915000000001</v>
      </c>
      <c r="AB8" s="25">
        <v>29.255286999999999</v>
      </c>
      <c r="AC8" s="25">
        <v>41.586603000000004</v>
      </c>
      <c r="AD8" s="25">
        <v>20.980976999999999</v>
      </c>
      <c r="AE8" s="25">
        <v>49.382019999999997</v>
      </c>
      <c r="AF8" s="25">
        <v>72.007628999999994</v>
      </c>
      <c r="AG8" s="25">
        <v>81.398747</v>
      </c>
      <c r="AH8" s="25">
        <v>69.049318999999997</v>
      </c>
      <c r="AI8" s="25">
        <v>31.944826000000003</v>
      </c>
      <c r="AJ8" s="25">
        <v>42.735748000000001</v>
      </c>
      <c r="AK8" s="25">
        <v>26.118001</v>
      </c>
      <c r="AL8" s="25">
        <v>30.870989000000002</v>
      </c>
      <c r="AM8" s="25">
        <v>18.084121</v>
      </c>
      <c r="AN8" s="25">
        <v>23.064910000000001</v>
      </c>
      <c r="AO8" s="25">
        <v>50.814793999999999</v>
      </c>
      <c r="AP8" s="25">
        <v>47.030231000000001</v>
      </c>
      <c r="AQ8" s="25">
        <v>30.462509999999998</v>
      </c>
      <c r="AR8" s="25">
        <v>31.969239000000002</v>
      </c>
      <c r="AS8" s="25">
        <v>53.385567999999999</v>
      </c>
      <c r="AT8" s="25">
        <v>75.136965000000004</v>
      </c>
      <c r="AU8" s="25">
        <v>69.693866999999997</v>
      </c>
    </row>
    <row r="9" spans="1:47" x14ac:dyDescent="0.3">
      <c r="A9" s="10"/>
      <c r="B9" s="22" t="s">
        <v>15</v>
      </c>
      <c r="C9" s="23">
        <v>70.668969000000004</v>
      </c>
      <c r="D9" s="23">
        <v>73.115774000000002</v>
      </c>
      <c r="E9" s="23">
        <v>78.164975999999996</v>
      </c>
      <c r="F9" s="23">
        <v>66.734694000000005</v>
      </c>
      <c r="G9" s="23">
        <v>67.474928000000006</v>
      </c>
      <c r="H9" s="23">
        <v>66.760775999999993</v>
      </c>
      <c r="I9" s="23">
        <v>72.586901999999995</v>
      </c>
      <c r="J9" s="23">
        <v>79.910563999999994</v>
      </c>
      <c r="K9" s="23">
        <v>64.649591999999998</v>
      </c>
      <c r="L9" s="23">
        <v>65.246241999999995</v>
      </c>
      <c r="M9" s="23">
        <v>59.476502999999994</v>
      </c>
      <c r="N9" s="23">
        <v>58.595002999999998</v>
      </c>
      <c r="O9" s="23">
        <v>45.943976999999997</v>
      </c>
      <c r="P9" s="23">
        <v>49.761682</v>
      </c>
      <c r="Q9" s="23">
        <v>48.597718999999998</v>
      </c>
      <c r="R9" s="23">
        <v>43.849771000000004</v>
      </c>
      <c r="S9" s="23">
        <v>53.963832000000004</v>
      </c>
      <c r="T9" s="23">
        <v>48.735157000000001</v>
      </c>
      <c r="U9" s="23">
        <v>53.421137000000002</v>
      </c>
      <c r="V9" s="23">
        <v>50.240231000000001</v>
      </c>
      <c r="W9" s="23">
        <v>52.418545999999999</v>
      </c>
      <c r="X9" s="23">
        <v>60.389493000000002</v>
      </c>
      <c r="Y9" s="23">
        <v>58.963245000000001</v>
      </c>
      <c r="Z9" s="23">
        <v>54.382703999999997</v>
      </c>
      <c r="AA9" s="23">
        <v>48.5503</v>
      </c>
      <c r="AB9" s="23">
        <v>47.833771999999996</v>
      </c>
      <c r="AC9" s="23">
        <v>42.845925999999999</v>
      </c>
      <c r="AD9" s="23">
        <v>41.948160000000001</v>
      </c>
      <c r="AE9" s="23">
        <v>46.880806999999997</v>
      </c>
      <c r="AF9" s="23">
        <v>53.252836000000002</v>
      </c>
      <c r="AG9" s="23">
        <v>53.838724999999997</v>
      </c>
      <c r="AH9" s="23">
        <v>50.384953000000003</v>
      </c>
      <c r="AI9" s="23">
        <v>43.518877000000003</v>
      </c>
      <c r="AJ9" s="23">
        <v>42.72927</v>
      </c>
      <c r="AK9" s="23">
        <v>44.954455000000003</v>
      </c>
      <c r="AL9" s="23">
        <v>41.191525999999996</v>
      </c>
      <c r="AM9" s="23">
        <v>49.134271999999996</v>
      </c>
      <c r="AN9" s="23">
        <v>37.715471999999998</v>
      </c>
      <c r="AO9" s="23">
        <v>46.839570000000002</v>
      </c>
      <c r="AP9" s="23">
        <v>53.118137000000004</v>
      </c>
      <c r="AQ9" s="23">
        <v>61.615879</v>
      </c>
      <c r="AR9" s="23">
        <v>53.786360999999999</v>
      </c>
      <c r="AS9" s="23">
        <v>53.837968000000004</v>
      </c>
      <c r="AT9" s="23">
        <v>49.594518999999998</v>
      </c>
      <c r="AU9" s="23">
        <v>45.793855999999998</v>
      </c>
    </row>
    <row r="10" spans="1:47" x14ac:dyDescent="0.3">
      <c r="A10" s="10"/>
      <c r="B10" s="24" t="s">
        <v>12</v>
      </c>
      <c r="C10" s="25">
        <v>460.57848100000001</v>
      </c>
      <c r="D10" s="25">
        <v>423.53695099999999</v>
      </c>
      <c r="E10" s="25">
        <v>492.54636399999998</v>
      </c>
      <c r="F10" s="25">
        <v>348.14986300000004</v>
      </c>
      <c r="G10" s="25">
        <v>306.59672399999999</v>
      </c>
      <c r="H10" s="25">
        <v>355.85887500000001</v>
      </c>
      <c r="I10" s="25">
        <v>464.56307099999998</v>
      </c>
      <c r="J10" s="25">
        <v>511.75015999999999</v>
      </c>
      <c r="K10" s="25">
        <v>446.55175500000001</v>
      </c>
      <c r="L10" s="25">
        <v>379.296717</v>
      </c>
      <c r="M10" s="25">
        <v>417.92735900000002</v>
      </c>
      <c r="N10" s="25">
        <v>411.74210800000003</v>
      </c>
      <c r="O10" s="25">
        <v>374.89732900000001</v>
      </c>
      <c r="P10" s="25">
        <v>418.36878200000001</v>
      </c>
      <c r="Q10" s="25">
        <v>352.27198200000004</v>
      </c>
      <c r="R10" s="25">
        <v>280.00533200000001</v>
      </c>
      <c r="S10" s="25">
        <v>386.89815800000002</v>
      </c>
      <c r="T10" s="25">
        <v>315.54535299999998</v>
      </c>
      <c r="U10" s="25">
        <v>459.24379599999997</v>
      </c>
      <c r="V10" s="25">
        <v>399.25665299999997</v>
      </c>
      <c r="W10" s="25">
        <v>303.03664100000003</v>
      </c>
      <c r="X10" s="25">
        <v>342.14995099999999</v>
      </c>
      <c r="Y10" s="25">
        <v>423.25911500000001</v>
      </c>
      <c r="Z10" s="25">
        <v>381.27479899999997</v>
      </c>
      <c r="AA10" s="25">
        <v>399.33558299999999</v>
      </c>
      <c r="AB10" s="25">
        <v>399.15340399999997</v>
      </c>
      <c r="AC10" s="25">
        <v>349.502681</v>
      </c>
      <c r="AD10" s="25">
        <v>282.230976</v>
      </c>
      <c r="AE10" s="25">
        <v>318.12690600000002</v>
      </c>
      <c r="AF10" s="25">
        <v>416.533816</v>
      </c>
      <c r="AG10" s="25">
        <v>399.05741899999998</v>
      </c>
      <c r="AH10" s="25">
        <v>316.84527500000002</v>
      </c>
      <c r="AI10" s="25">
        <v>313.60222199999998</v>
      </c>
      <c r="AJ10" s="25">
        <v>335.83800400000001</v>
      </c>
      <c r="AK10" s="25">
        <v>337.656251</v>
      </c>
      <c r="AL10" s="25">
        <v>389.11435999999998</v>
      </c>
      <c r="AM10" s="25">
        <v>404.36649999999997</v>
      </c>
      <c r="AN10" s="25">
        <v>362.50975599999998</v>
      </c>
      <c r="AO10" s="25">
        <v>370.11257599999999</v>
      </c>
      <c r="AP10" s="25">
        <v>316.31933399999997</v>
      </c>
      <c r="AQ10" s="25">
        <v>374.17000899999999</v>
      </c>
      <c r="AR10" s="25">
        <v>361.69293400000004</v>
      </c>
      <c r="AS10" s="25">
        <v>354.55836599999998</v>
      </c>
      <c r="AT10" s="25">
        <v>326.31835799999999</v>
      </c>
      <c r="AU10" s="25">
        <v>279.59335999999996</v>
      </c>
    </row>
    <row r="11" spans="1:47" x14ac:dyDescent="0.3">
      <c r="A11" s="10"/>
      <c r="B11" s="26" t="s">
        <v>4</v>
      </c>
      <c r="C11" s="27">
        <f>+SUM(C5:C10)</f>
        <v>14238.812032</v>
      </c>
      <c r="D11" s="27">
        <f t="shared" ref="D11:AU11" si="0">+SUM(D5:D10)</f>
        <v>12479.258188</v>
      </c>
      <c r="E11" s="27">
        <f t="shared" si="0"/>
        <v>14620.487639999999</v>
      </c>
      <c r="F11" s="27">
        <f t="shared" si="0"/>
        <v>10511.534996</v>
      </c>
      <c r="G11" s="27">
        <f t="shared" si="0"/>
        <v>11249.058668000001</v>
      </c>
      <c r="H11" s="27">
        <f t="shared" si="0"/>
        <v>12560.417375999998</v>
      </c>
      <c r="I11" s="27">
        <f t="shared" si="0"/>
        <v>13083.179770999997</v>
      </c>
      <c r="J11" s="27">
        <f t="shared" si="0"/>
        <v>12445.186697999998</v>
      </c>
      <c r="K11" s="27">
        <f t="shared" si="0"/>
        <v>11555.718081000001</v>
      </c>
      <c r="L11" s="27">
        <f t="shared" si="0"/>
        <v>10987.167044999998</v>
      </c>
      <c r="M11" s="27">
        <f t="shared" si="0"/>
        <v>11597.761543000001</v>
      </c>
      <c r="N11" s="27">
        <f t="shared" si="0"/>
        <v>12312.845382000003</v>
      </c>
      <c r="O11" s="27">
        <f t="shared" si="0"/>
        <v>13977.201171999999</v>
      </c>
      <c r="P11" s="27">
        <f t="shared" si="0"/>
        <v>13414.740524999999</v>
      </c>
      <c r="Q11" s="27">
        <f t="shared" si="0"/>
        <v>12463.693732000002</v>
      </c>
      <c r="R11" s="27">
        <f t="shared" si="0"/>
        <v>10515.483962999999</v>
      </c>
      <c r="S11" s="27">
        <f t="shared" si="0"/>
        <v>12699.140745999999</v>
      </c>
      <c r="T11" s="27">
        <f t="shared" si="0"/>
        <v>11679.575455999999</v>
      </c>
      <c r="U11" s="27">
        <f t="shared" si="0"/>
        <v>13803.862451999999</v>
      </c>
      <c r="V11" s="27">
        <f t="shared" si="0"/>
        <v>12655.163053000002</v>
      </c>
      <c r="W11" s="27">
        <f t="shared" si="0"/>
        <v>10729.377096000002</v>
      </c>
      <c r="X11" s="27">
        <f t="shared" si="0"/>
        <v>11232.742573</v>
      </c>
      <c r="Y11" s="27">
        <f t="shared" si="0"/>
        <v>11641.456144000002</v>
      </c>
      <c r="Z11" s="27">
        <f t="shared" si="0"/>
        <v>11979.325123999999</v>
      </c>
      <c r="AA11" s="27">
        <f t="shared" si="0"/>
        <v>14131.562285999998</v>
      </c>
      <c r="AB11" s="27">
        <f t="shared" si="0"/>
        <v>13423.730875000001</v>
      </c>
      <c r="AC11" s="27">
        <f t="shared" si="0"/>
        <v>12203.603507000002</v>
      </c>
      <c r="AD11" s="27">
        <f t="shared" si="0"/>
        <v>10318.674369999999</v>
      </c>
      <c r="AE11" s="27">
        <f t="shared" si="0"/>
        <v>11388.749293999997</v>
      </c>
      <c r="AF11" s="27">
        <f t="shared" si="0"/>
        <v>13232.803624999999</v>
      </c>
      <c r="AG11" s="27">
        <f t="shared" si="0"/>
        <v>13435.942066</v>
      </c>
      <c r="AH11" s="27">
        <f t="shared" si="0"/>
        <v>12155.036297999999</v>
      </c>
      <c r="AI11" s="27">
        <f t="shared" si="0"/>
        <v>11024.016182000001</v>
      </c>
      <c r="AJ11" s="27">
        <f t="shared" si="0"/>
        <v>11034.086906999999</v>
      </c>
      <c r="AK11" s="27">
        <f t="shared" si="0"/>
        <v>11128.985863000002</v>
      </c>
      <c r="AL11" s="27">
        <f t="shared" si="0"/>
        <v>13619.2559</v>
      </c>
      <c r="AM11" s="27">
        <f t="shared" si="0"/>
        <v>13675.158493999999</v>
      </c>
      <c r="AN11" s="27">
        <f t="shared" si="0"/>
        <v>12270.697568999996</v>
      </c>
      <c r="AO11" s="27">
        <f t="shared" si="0"/>
        <v>12529.307987</v>
      </c>
      <c r="AP11" s="27">
        <f t="shared" si="0"/>
        <v>11019.790494999999</v>
      </c>
      <c r="AQ11" s="27">
        <f t="shared" si="0"/>
        <v>12617.788749000001</v>
      </c>
      <c r="AR11" s="27">
        <f t="shared" si="0"/>
        <v>13088.635137000001</v>
      </c>
      <c r="AS11" s="27">
        <f t="shared" si="0"/>
        <v>13527.254279999999</v>
      </c>
      <c r="AT11" s="27">
        <f t="shared" si="0"/>
        <v>12885.855245000001</v>
      </c>
      <c r="AU11" s="27">
        <f t="shared" si="0"/>
        <v>11621.166830000004</v>
      </c>
    </row>
    <row r="12" spans="1:47" x14ac:dyDescent="0.3">
      <c r="A12" s="11" t="s">
        <v>5</v>
      </c>
      <c r="B12" s="13" t="s">
        <v>8</v>
      </c>
      <c r="C12" s="16">
        <v>8453.5912070000013</v>
      </c>
      <c r="D12" s="16">
        <v>6910.5586900000008</v>
      </c>
      <c r="E12" s="16">
        <v>8053.4231770000006</v>
      </c>
      <c r="F12" s="16">
        <v>5107.4613870000003</v>
      </c>
      <c r="G12" s="16">
        <v>6491.7987860000003</v>
      </c>
      <c r="H12" s="16">
        <v>7277.903405</v>
      </c>
      <c r="I12" s="16">
        <v>6424.0527320000001</v>
      </c>
      <c r="J12" s="16">
        <v>5424.1587959999997</v>
      </c>
      <c r="K12" s="16">
        <v>4708.8733350000002</v>
      </c>
      <c r="L12" s="16">
        <v>4061.7108920000001</v>
      </c>
      <c r="M12" s="16">
        <v>4896.465502</v>
      </c>
      <c r="N12" s="16">
        <v>5210.0976009999995</v>
      </c>
      <c r="O12" s="16">
        <v>7018.7280300000002</v>
      </c>
      <c r="P12" s="16">
        <v>7446.8694689999993</v>
      </c>
      <c r="Q12" s="16">
        <v>6889.8119749999996</v>
      </c>
      <c r="R12" s="16">
        <v>5236.9361689999996</v>
      </c>
      <c r="S12" s="16">
        <v>6309.0368660000004</v>
      </c>
      <c r="T12" s="16">
        <v>6074.043181</v>
      </c>
      <c r="U12" s="16">
        <v>6487.3700280000003</v>
      </c>
      <c r="V12" s="16">
        <v>6313.029595</v>
      </c>
      <c r="W12" s="16">
        <v>5981.5850980000005</v>
      </c>
      <c r="X12" s="16">
        <v>5824.760499</v>
      </c>
      <c r="Y12" s="16">
        <v>5977.2461830000002</v>
      </c>
      <c r="Z12" s="16">
        <v>5828.7774090000003</v>
      </c>
      <c r="AA12" s="16">
        <v>8353.4772720000001</v>
      </c>
      <c r="AB12" s="16">
        <v>7958.0799210000005</v>
      </c>
      <c r="AC12" s="16">
        <v>7032.0935300000001</v>
      </c>
      <c r="AD12" s="16">
        <v>5414.5000949999994</v>
      </c>
      <c r="AE12" s="16">
        <v>5929.6878030000007</v>
      </c>
      <c r="AF12" s="16">
        <v>6284.2138650000006</v>
      </c>
      <c r="AG12" s="16">
        <v>6505.3835099999997</v>
      </c>
      <c r="AH12" s="16">
        <v>6114.813255</v>
      </c>
      <c r="AI12" s="16">
        <v>4703.9165549999998</v>
      </c>
      <c r="AJ12" s="16">
        <v>4360.0920149999993</v>
      </c>
      <c r="AK12" s="16">
        <v>5035.7393769999999</v>
      </c>
      <c r="AL12" s="16">
        <v>7532.6904400000003</v>
      </c>
      <c r="AM12" s="16">
        <v>7764.8068839999996</v>
      </c>
      <c r="AN12" s="16">
        <v>7470.4077509999997</v>
      </c>
      <c r="AO12" s="16">
        <v>7539.2697950000002</v>
      </c>
      <c r="AP12" s="16">
        <v>6135.7743899999996</v>
      </c>
      <c r="AQ12" s="16">
        <v>6102.9815149999995</v>
      </c>
      <c r="AR12" s="16">
        <v>6849.6866829999999</v>
      </c>
      <c r="AS12" s="16">
        <v>6627.4758979999997</v>
      </c>
      <c r="AT12" s="16">
        <v>5302.6843420000005</v>
      </c>
      <c r="AU12" s="16">
        <v>4159.3662969999996</v>
      </c>
    </row>
    <row r="13" spans="1:47" x14ac:dyDescent="0.3">
      <c r="A13" s="11"/>
      <c r="B13" s="14" t="s">
        <v>7</v>
      </c>
      <c r="C13" s="12">
        <v>632.80191500000001</v>
      </c>
      <c r="D13" s="12">
        <v>621.71885999999995</v>
      </c>
      <c r="E13" s="12">
        <v>634.41806299999996</v>
      </c>
      <c r="F13" s="12">
        <v>669.65313600000002</v>
      </c>
      <c r="G13" s="12">
        <v>679.91121499999997</v>
      </c>
      <c r="H13" s="12">
        <v>680.76745299999993</v>
      </c>
      <c r="I13" s="12">
        <v>701.86695099999997</v>
      </c>
      <c r="J13" s="12">
        <v>722.56701499999997</v>
      </c>
      <c r="K13" s="12">
        <v>808.50903200000005</v>
      </c>
      <c r="L13" s="12">
        <v>859.48946799999999</v>
      </c>
      <c r="M13" s="12">
        <v>870.26574100000005</v>
      </c>
      <c r="N13" s="12">
        <v>1081.0528039999999</v>
      </c>
      <c r="O13" s="12">
        <v>1138.5243270000001</v>
      </c>
      <c r="P13" s="12">
        <v>990.164175</v>
      </c>
      <c r="Q13" s="12">
        <v>1096.784582</v>
      </c>
      <c r="R13" s="12">
        <v>1114.427531</v>
      </c>
      <c r="S13" s="12">
        <v>1129.0207409999998</v>
      </c>
      <c r="T13" s="12">
        <v>1129.6180490000002</v>
      </c>
      <c r="U13" s="12">
        <v>1174.1155819999999</v>
      </c>
      <c r="V13" s="12">
        <v>724.10547499999996</v>
      </c>
      <c r="W13" s="12">
        <v>480.219111</v>
      </c>
      <c r="X13" s="12">
        <v>393.91601500000002</v>
      </c>
      <c r="Y13" s="12">
        <v>401.984015</v>
      </c>
      <c r="Z13" s="12">
        <v>676.13578700000005</v>
      </c>
      <c r="AA13" s="12">
        <v>877.24907999999994</v>
      </c>
      <c r="AB13" s="12">
        <v>789.16659199999992</v>
      </c>
      <c r="AC13" s="12">
        <v>914.01741599999991</v>
      </c>
      <c r="AD13" s="12">
        <v>898.24147499999992</v>
      </c>
      <c r="AE13" s="12">
        <v>932.97638100000006</v>
      </c>
      <c r="AF13" s="12">
        <v>837.19946200000004</v>
      </c>
      <c r="AG13" s="12">
        <v>891.98824500000001</v>
      </c>
      <c r="AH13" s="12">
        <v>943.11881000000005</v>
      </c>
      <c r="AI13" s="12">
        <v>912.50915300000008</v>
      </c>
      <c r="AJ13" s="12">
        <v>932.33130599999993</v>
      </c>
      <c r="AK13" s="12">
        <v>906.91007400000001</v>
      </c>
      <c r="AL13" s="12">
        <v>924.86650300000008</v>
      </c>
      <c r="AM13" s="12">
        <v>932.67386699999997</v>
      </c>
      <c r="AN13" s="12">
        <v>829.62933999999996</v>
      </c>
      <c r="AO13" s="12">
        <v>589.50191900000004</v>
      </c>
      <c r="AP13" s="12">
        <v>431.74055800000002</v>
      </c>
      <c r="AQ13" s="12">
        <v>778.36620200000004</v>
      </c>
      <c r="AR13" s="12">
        <v>888.44208400000002</v>
      </c>
      <c r="AS13" s="12">
        <v>971.85545999999999</v>
      </c>
      <c r="AT13" s="12">
        <v>971.64499599999999</v>
      </c>
      <c r="AU13" s="12">
        <v>942.334656</v>
      </c>
    </row>
    <row r="14" spans="1:47" x14ac:dyDescent="0.3">
      <c r="A14" s="11"/>
      <c r="B14" s="13" t="s">
        <v>17</v>
      </c>
      <c r="C14" s="16">
        <v>1642.3743509999999</v>
      </c>
      <c r="D14" s="16">
        <v>1523.9233610000001</v>
      </c>
      <c r="E14" s="16">
        <v>1553.8011309999999</v>
      </c>
      <c r="F14" s="16">
        <v>1488.183769</v>
      </c>
      <c r="G14" s="16">
        <v>1493.5698179999999</v>
      </c>
      <c r="H14" s="16">
        <v>1567.7655730000001</v>
      </c>
      <c r="I14" s="16">
        <v>1449.191247</v>
      </c>
      <c r="J14" s="16">
        <v>1909.066041</v>
      </c>
      <c r="K14" s="16">
        <v>1686.3993619999999</v>
      </c>
      <c r="L14" s="16">
        <v>1897.0486159999998</v>
      </c>
      <c r="M14" s="16">
        <v>2042.6829269999998</v>
      </c>
      <c r="N14" s="16">
        <v>1831.9280859999999</v>
      </c>
      <c r="O14" s="16">
        <v>1984.8067129999999</v>
      </c>
      <c r="P14" s="16">
        <v>1708.61959</v>
      </c>
      <c r="Q14" s="16">
        <v>1956.7061669999998</v>
      </c>
      <c r="R14" s="16">
        <v>1856.4252549999999</v>
      </c>
      <c r="S14" s="16">
        <v>1515.887203</v>
      </c>
      <c r="T14" s="16">
        <v>1606.604507</v>
      </c>
      <c r="U14" s="16">
        <v>1790.7804799999999</v>
      </c>
      <c r="V14" s="16">
        <v>1764.0211650000001</v>
      </c>
      <c r="W14" s="16">
        <v>2158.067254</v>
      </c>
      <c r="X14" s="16">
        <v>2087.3135470000002</v>
      </c>
      <c r="Y14" s="16">
        <v>2250.5419360000001</v>
      </c>
      <c r="Z14" s="16">
        <v>2196.8447529999999</v>
      </c>
      <c r="AA14" s="16">
        <v>2157.0077609999998</v>
      </c>
      <c r="AB14" s="16">
        <v>2002.5317180000002</v>
      </c>
      <c r="AC14" s="16">
        <v>2056.3546959999999</v>
      </c>
      <c r="AD14" s="16">
        <v>2046.154479</v>
      </c>
      <c r="AE14" s="16">
        <v>2119.198124</v>
      </c>
      <c r="AF14" s="16">
        <v>2060.5116040000003</v>
      </c>
      <c r="AG14" s="16">
        <v>2075.4959610000001</v>
      </c>
      <c r="AH14" s="16">
        <v>2140.5822899999998</v>
      </c>
      <c r="AI14" s="16">
        <v>2381.9544740000001</v>
      </c>
      <c r="AJ14" s="16">
        <v>2706.6384019999996</v>
      </c>
      <c r="AK14" s="16">
        <v>2350.4755709999999</v>
      </c>
      <c r="AL14" s="16">
        <v>2566.34285</v>
      </c>
      <c r="AM14" s="16">
        <v>2476.672759</v>
      </c>
      <c r="AN14" s="16">
        <v>2258.7101669999997</v>
      </c>
      <c r="AO14" s="16">
        <v>2436.9071609999996</v>
      </c>
      <c r="AP14" s="16">
        <v>2165.2228999999998</v>
      </c>
      <c r="AQ14" s="16">
        <v>2062.567427</v>
      </c>
      <c r="AR14" s="16">
        <v>2062.7941890000002</v>
      </c>
      <c r="AS14" s="16">
        <v>1791.3485909999999</v>
      </c>
      <c r="AT14" s="16">
        <v>2279.5246669999997</v>
      </c>
      <c r="AU14" s="16">
        <v>2542.0961579999998</v>
      </c>
    </row>
    <row r="15" spans="1:47" x14ac:dyDescent="0.3">
      <c r="A15" s="11"/>
      <c r="B15" s="14" t="s">
        <v>18</v>
      </c>
      <c r="C15" s="12">
        <v>2635.360572</v>
      </c>
      <c r="D15" s="12">
        <v>2652.4624709999998</v>
      </c>
      <c r="E15" s="12">
        <v>3314.4683560000003</v>
      </c>
      <c r="F15" s="12">
        <v>2285.4035859999999</v>
      </c>
      <c r="G15" s="12">
        <v>2056.8261040000002</v>
      </c>
      <c r="H15" s="12">
        <v>2247.0035480000001</v>
      </c>
      <c r="I15" s="12">
        <v>3711.9161530000001</v>
      </c>
      <c r="J15" s="12">
        <v>4142.1656549999998</v>
      </c>
      <c r="K15" s="12">
        <v>4172.1523889999999</v>
      </c>
      <c r="L15" s="12">
        <v>4158.8147099999996</v>
      </c>
      <c r="M15" s="12">
        <v>3783.8264570000001</v>
      </c>
      <c r="N15" s="12">
        <v>4171.415755</v>
      </c>
      <c r="O15" s="12">
        <v>3744.4479230000002</v>
      </c>
      <c r="P15" s="12">
        <v>2866.3149800000001</v>
      </c>
      <c r="Q15" s="12">
        <v>2444.500528</v>
      </c>
      <c r="R15" s="12">
        <v>2289.5426940000002</v>
      </c>
      <c r="S15" s="12">
        <v>3306.4160440000001</v>
      </c>
      <c r="T15" s="12">
        <v>2243.3110000000001</v>
      </c>
      <c r="U15" s="12">
        <v>3296.8319919999999</v>
      </c>
      <c r="V15" s="12">
        <v>2792.0337400000003</v>
      </c>
      <c r="W15" s="12">
        <v>1928.30522</v>
      </c>
      <c r="X15" s="12">
        <v>2624.5488</v>
      </c>
      <c r="Y15" s="12">
        <v>2648.4096650000001</v>
      </c>
      <c r="Z15" s="12">
        <v>3239.3780000000002</v>
      </c>
      <c r="AA15" s="12">
        <v>2427.0360289999999</v>
      </c>
      <c r="AB15" s="12">
        <v>2131.703074</v>
      </c>
      <c r="AC15" s="12">
        <v>2054.1665039999998</v>
      </c>
      <c r="AD15" s="12">
        <v>1949.8173789999998</v>
      </c>
      <c r="AE15" s="12">
        <v>2357.0857999999998</v>
      </c>
      <c r="AF15" s="12">
        <v>3290.5723520000001</v>
      </c>
      <c r="AG15" s="12">
        <v>2635.5588399999997</v>
      </c>
      <c r="AH15" s="12">
        <v>2365.8340699999999</v>
      </c>
      <c r="AI15" s="12">
        <v>2661.7815110000001</v>
      </c>
      <c r="AJ15" s="12">
        <v>2910.1148920000001</v>
      </c>
      <c r="AK15" s="12">
        <v>2818.2045329999996</v>
      </c>
      <c r="AL15" s="12">
        <v>2542.272759</v>
      </c>
      <c r="AM15" s="12">
        <v>2349.57177</v>
      </c>
      <c r="AN15" s="12">
        <v>1580.521182</v>
      </c>
      <c r="AO15" s="12">
        <v>1891.5479190000001</v>
      </c>
      <c r="AP15" s="12">
        <v>2121.8365469999999</v>
      </c>
      <c r="AQ15" s="12">
        <v>2910.3573609999999</v>
      </c>
      <c r="AR15" s="12">
        <v>2446.4080240000003</v>
      </c>
      <c r="AS15" s="12">
        <v>3238.1257540000001</v>
      </c>
      <c r="AT15" s="12">
        <v>3421.71146</v>
      </c>
      <c r="AU15" s="12">
        <v>3508.4887590000003</v>
      </c>
    </row>
    <row r="16" spans="1:47" x14ac:dyDescent="0.3">
      <c r="A16" s="11"/>
      <c r="B16" s="13" t="s">
        <v>13</v>
      </c>
      <c r="C16" s="16">
        <v>874.683987</v>
      </c>
      <c r="D16" s="16">
        <v>770.59480599999995</v>
      </c>
      <c r="E16" s="16">
        <v>1064.3769129999998</v>
      </c>
      <c r="F16" s="16">
        <v>960.83311800000001</v>
      </c>
      <c r="G16" s="16">
        <v>526.95274500000005</v>
      </c>
      <c r="H16" s="16">
        <v>786.977397</v>
      </c>
      <c r="I16" s="16">
        <v>796.15268800000001</v>
      </c>
      <c r="J16" s="16">
        <v>247.22919099999999</v>
      </c>
      <c r="K16" s="16">
        <v>179.783963</v>
      </c>
      <c r="L16" s="16">
        <v>10.103359000000001</v>
      </c>
      <c r="M16" s="16">
        <v>4.5209160000000006</v>
      </c>
      <c r="N16" s="16">
        <v>18.351136</v>
      </c>
      <c r="O16" s="16">
        <v>90.694179000000005</v>
      </c>
      <c r="P16" s="16">
        <v>402.772311</v>
      </c>
      <c r="Q16" s="16">
        <v>75.890479999999997</v>
      </c>
      <c r="R16" s="16">
        <v>18.152313999999997</v>
      </c>
      <c r="S16" s="16">
        <v>438.77989200000002</v>
      </c>
      <c r="T16" s="16">
        <v>625.99871900000005</v>
      </c>
      <c r="U16" s="16">
        <v>1054.7643700000001</v>
      </c>
      <c r="V16" s="16">
        <v>1061.973078</v>
      </c>
      <c r="W16" s="16">
        <v>181.200413</v>
      </c>
      <c r="X16" s="16">
        <v>302.203712</v>
      </c>
      <c r="Y16" s="16">
        <v>363.27434499999998</v>
      </c>
      <c r="Z16" s="16">
        <v>38.189175000000006</v>
      </c>
      <c r="AA16" s="16">
        <v>316.79214399999995</v>
      </c>
      <c r="AB16" s="16">
        <v>542.24956999999995</v>
      </c>
      <c r="AC16" s="16">
        <v>146.971361</v>
      </c>
      <c r="AD16" s="16">
        <v>9.9609419999999993</v>
      </c>
      <c r="AE16" s="16">
        <v>49.801186000000001</v>
      </c>
      <c r="AF16" s="16">
        <v>760.30634199999997</v>
      </c>
      <c r="AG16" s="16">
        <v>1327.5155099999999</v>
      </c>
      <c r="AH16" s="16">
        <v>590.68787299999997</v>
      </c>
      <c r="AI16" s="16">
        <v>363.854489</v>
      </c>
      <c r="AJ16" s="16">
        <v>124.910292</v>
      </c>
      <c r="AK16" s="16">
        <v>17.656307999999999</v>
      </c>
      <c r="AL16" s="16">
        <v>53.083348000000001</v>
      </c>
      <c r="AM16" s="16">
        <v>151.43321400000002</v>
      </c>
      <c r="AN16" s="16">
        <v>131.42912899999999</v>
      </c>
      <c r="AO16" s="16">
        <v>72.081192999999999</v>
      </c>
      <c r="AP16" s="16">
        <v>165.21610000000001</v>
      </c>
      <c r="AQ16" s="16">
        <v>763.51624399999992</v>
      </c>
      <c r="AR16" s="16">
        <v>841.30415700000003</v>
      </c>
      <c r="AS16" s="16">
        <v>898.448577</v>
      </c>
      <c r="AT16" s="16">
        <v>910.28978000000006</v>
      </c>
      <c r="AU16" s="16">
        <v>468.88096000000002</v>
      </c>
    </row>
    <row r="17" spans="1:76" x14ac:dyDescent="0.3">
      <c r="A17" s="11"/>
      <c r="B17" s="11" t="s">
        <v>6</v>
      </c>
      <c r="C17" s="15">
        <v>14238.812032000002</v>
      </c>
      <c r="D17" s="15">
        <v>12479.258188</v>
      </c>
      <c r="E17" s="15">
        <v>14620.487639999999</v>
      </c>
      <c r="F17" s="15">
        <v>10511.534996</v>
      </c>
      <c r="G17" s="15">
        <v>11249.058668000001</v>
      </c>
      <c r="H17" s="15">
        <v>12560.417375999999</v>
      </c>
      <c r="I17" s="15">
        <v>13083.179771000001</v>
      </c>
      <c r="J17" s="15">
        <v>12445.186698</v>
      </c>
      <c r="K17" s="15">
        <v>11555.718081000001</v>
      </c>
      <c r="L17" s="15">
        <v>10987.167045</v>
      </c>
      <c r="M17" s="15">
        <v>11597.761542999999</v>
      </c>
      <c r="N17" s="15">
        <v>12312.845381999998</v>
      </c>
      <c r="O17" s="15">
        <v>13977.201171999999</v>
      </c>
      <c r="P17" s="15">
        <v>13414.740525000001</v>
      </c>
      <c r="Q17" s="15">
        <v>12463.693732</v>
      </c>
      <c r="R17" s="15">
        <v>10515.483963000001</v>
      </c>
      <c r="S17" s="15">
        <v>12699.140746000003</v>
      </c>
      <c r="T17" s="15">
        <v>11679.575455999999</v>
      </c>
      <c r="U17" s="15">
        <v>13803.862452000001</v>
      </c>
      <c r="V17" s="15">
        <v>12655.163053</v>
      </c>
      <c r="W17" s="15">
        <v>10729.377096000002</v>
      </c>
      <c r="X17" s="15">
        <v>11232.742573000001</v>
      </c>
      <c r="Y17" s="15">
        <v>11641.456144</v>
      </c>
      <c r="Z17" s="15">
        <v>11979.325124000001</v>
      </c>
      <c r="AA17" s="15">
        <v>14131.562285999998</v>
      </c>
      <c r="AB17" s="15">
        <v>13423.730875000001</v>
      </c>
      <c r="AC17" s="15">
        <v>12203.603507</v>
      </c>
      <c r="AD17" s="15">
        <v>10318.674369999999</v>
      </c>
      <c r="AE17" s="15">
        <v>11388.749294000001</v>
      </c>
      <c r="AF17" s="15">
        <v>13232.803625</v>
      </c>
      <c r="AG17" s="15">
        <v>13435.942066</v>
      </c>
      <c r="AH17" s="15">
        <v>12155.036298000001</v>
      </c>
      <c r="AI17" s="15">
        <v>11024.016181999998</v>
      </c>
      <c r="AJ17" s="15">
        <v>11034.086907000001</v>
      </c>
      <c r="AK17" s="15">
        <v>11128.985863</v>
      </c>
      <c r="AL17" s="15">
        <v>13619.2559</v>
      </c>
      <c r="AM17" s="15">
        <v>13675.158493999999</v>
      </c>
      <c r="AN17" s="15">
        <v>12270.697569</v>
      </c>
      <c r="AO17" s="15">
        <v>12529.307987</v>
      </c>
      <c r="AP17" s="15">
        <v>11019.790494999999</v>
      </c>
      <c r="AQ17" s="15">
        <v>12617.788748999999</v>
      </c>
      <c r="AR17" s="15">
        <v>13088.635137000001</v>
      </c>
      <c r="AS17" s="15">
        <v>13527.254391999999</v>
      </c>
      <c r="AT17" s="15">
        <f>SUM(AT12:AT16)</f>
        <v>12885.855245000002</v>
      </c>
      <c r="AU17" s="15">
        <f>SUM(AU12:AU16)</f>
        <v>11621.16683</v>
      </c>
    </row>
    <row r="18" spans="1:76" x14ac:dyDescent="0.3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</row>
    <row r="19" spans="1:76" x14ac:dyDescent="0.3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76" x14ac:dyDescent="0.3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AA20" s="4"/>
      <c r="AB20" s="5"/>
      <c r="AC20" s="5"/>
      <c r="AD20" s="5"/>
      <c r="AE20"/>
      <c r="AF20"/>
      <c r="AG20"/>
      <c r="AH20"/>
      <c r="AI20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76" x14ac:dyDescent="0.3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AA21" s="7"/>
      <c r="AB21" s="5"/>
      <c r="AC21" s="5"/>
      <c r="AD21" s="5"/>
      <c r="AE21"/>
      <c r="AF21"/>
      <c r="AG21"/>
      <c r="AH21"/>
      <c r="AI21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76" x14ac:dyDescent="0.3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AE22"/>
      <c r="AF22"/>
      <c r="AG22"/>
      <c r="AH22"/>
      <c r="AI22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76" x14ac:dyDescent="0.3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</row>
    <row r="24" spans="1:76" x14ac:dyDescent="0.3">
      <c r="C24" s="6"/>
      <c r="D24" s="6"/>
      <c r="E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76" x14ac:dyDescent="0.3">
      <c r="C25" s="6"/>
      <c r="D25" s="6"/>
      <c r="E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76" ht="13.95" customHeight="1" x14ac:dyDescent="0.3">
      <c r="C26" s="6"/>
      <c r="D26" s="6"/>
      <c r="E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76" x14ac:dyDescent="0.3">
      <c r="C27" s="6"/>
      <c r="D27" s="6"/>
      <c r="E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76" x14ac:dyDescent="0.3">
      <c r="C28" s="6"/>
      <c r="D28" s="6"/>
      <c r="E28" s="6"/>
    </row>
    <row r="29" spans="1:76" x14ac:dyDescent="0.3">
      <c r="C29" s="6"/>
      <c r="D29" s="6"/>
      <c r="E29" s="6"/>
    </row>
    <row r="30" spans="1:76" x14ac:dyDescent="0.3">
      <c r="C30" s="6"/>
      <c r="D30" s="6"/>
      <c r="E30" s="6"/>
    </row>
    <row r="31" spans="1:76" x14ac:dyDescent="0.3">
      <c r="C31" s="6"/>
      <c r="D31" s="6"/>
      <c r="E31" s="6"/>
    </row>
    <row r="32" spans="1:76" x14ac:dyDescent="0.3">
      <c r="C32" s="6"/>
      <c r="D32" s="6"/>
      <c r="E32" s="6"/>
    </row>
    <row r="33" spans="3:5" x14ac:dyDescent="0.3">
      <c r="C33" s="6"/>
      <c r="D33" s="6"/>
      <c r="E33" s="6"/>
    </row>
    <row r="34" spans="3:5" x14ac:dyDescent="0.3">
      <c r="C34" s="6"/>
      <c r="D34" s="6"/>
      <c r="E34" s="6"/>
    </row>
    <row r="35" spans="3:5" x14ac:dyDescent="0.3">
      <c r="C35" s="6"/>
      <c r="D35" s="6"/>
      <c r="E35" s="6"/>
    </row>
    <row r="36" spans="3:5" x14ac:dyDescent="0.3">
      <c r="C36" s="6"/>
      <c r="D36" s="6"/>
      <c r="E36" s="6"/>
    </row>
    <row r="37" spans="3:5" x14ac:dyDescent="0.3">
      <c r="C37" s="6"/>
      <c r="D37" s="6"/>
      <c r="E37" s="6"/>
    </row>
    <row r="38" spans="3:5" x14ac:dyDescent="0.3">
      <c r="C38" s="6"/>
      <c r="D38" s="6"/>
      <c r="E38" s="6"/>
    </row>
    <row r="39" spans="3:5" x14ac:dyDescent="0.3">
      <c r="C39" s="6"/>
      <c r="D39" s="6"/>
      <c r="E39" s="6"/>
    </row>
    <row r="40" spans="3:5" x14ac:dyDescent="0.3">
      <c r="C40" s="6"/>
      <c r="D40" s="6"/>
      <c r="E40" s="6"/>
    </row>
    <row r="41" spans="3:5" x14ac:dyDescent="0.3">
      <c r="C41" s="6"/>
      <c r="D41" s="6"/>
      <c r="E41" s="6"/>
    </row>
    <row r="42" spans="3:5" x14ac:dyDescent="0.3">
      <c r="C42" s="6"/>
      <c r="D42" s="6"/>
      <c r="E42" s="6"/>
    </row>
    <row r="43" spans="3:5" x14ac:dyDescent="0.3">
      <c r="C43" s="6"/>
      <c r="D43" s="6"/>
      <c r="E43" s="6"/>
    </row>
    <row r="44" spans="3:5" x14ac:dyDescent="0.3">
      <c r="C44" s="6"/>
      <c r="D44" s="6"/>
      <c r="E44" s="6"/>
    </row>
    <row r="45" spans="3:5" x14ac:dyDescent="0.3">
      <c r="C45" s="6"/>
      <c r="D45" s="6"/>
      <c r="E45" s="6"/>
    </row>
    <row r="46" spans="3:5" x14ac:dyDescent="0.3">
      <c r="C46" s="6"/>
      <c r="D46" s="6"/>
      <c r="E46" s="6"/>
    </row>
    <row r="47" spans="3:5" x14ac:dyDescent="0.3">
      <c r="C47" s="6"/>
      <c r="D47" s="6"/>
      <c r="E47" s="6"/>
    </row>
    <row r="48" spans="3:5" x14ac:dyDescent="0.3">
      <c r="C48" s="6"/>
      <c r="D48" s="6"/>
      <c r="E48" s="6"/>
    </row>
    <row r="49" spans="3:5" x14ac:dyDescent="0.3">
      <c r="C49" s="6"/>
      <c r="D49" s="6"/>
      <c r="E49" s="6"/>
    </row>
    <row r="50" spans="3:5" x14ac:dyDescent="0.3">
      <c r="C50" s="6"/>
      <c r="D50" s="6"/>
      <c r="E50" s="6"/>
    </row>
    <row r="51" spans="3:5" x14ac:dyDescent="0.3">
      <c r="C51" s="6"/>
      <c r="D51" s="6"/>
      <c r="E51" s="6"/>
    </row>
    <row r="52" spans="3:5" x14ac:dyDescent="0.3">
      <c r="C52" s="6"/>
      <c r="D52" s="6"/>
      <c r="E52" s="6"/>
    </row>
    <row r="53" spans="3:5" x14ac:dyDescent="0.3">
      <c r="C53" s="6"/>
      <c r="D53" s="6"/>
      <c r="E53" s="6"/>
    </row>
    <row r="54" spans="3:5" x14ac:dyDescent="0.3">
      <c r="C54" s="6"/>
      <c r="D54" s="6"/>
      <c r="E54" s="6"/>
    </row>
    <row r="55" spans="3:5" x14ac:dyDescent="0.3">
      <c r="C55" s="6"/>
      <c r="D55" s="6"/>
      <c r="E55" s="6"/>
    </row>
    <row r="56" spans="3:5" x14ac:dyDescent="0.3">
      <c r="C56" s="6"/>
      <c r="D56" s="6"/>
      <c r="E56" s="6"/>
    </row>
    <row r="57" spans="3:5" x14ac:dyDescent="0.3">
      <c r="C57" s="6"/>
      <c r="D57" s="6"/>
      <c r="E57" s="6"/>
    </row>
    <row r="58" spans="3:5" x14ac:dyDescent="0.3">
      <c r="C58" s="6"/>
      <c r="D58" s="6"/>
      <c r="E58" s="6"/>
    </row>
    <row r="59" spans="3:5" x14ac:dyDescent="0.3">
      <c r="C59" s="6"/>
      <c r="D59" s="6"/>
      <c r="E59" s="6"/>
    </row>
    <row r="60" spans="3:5" x14ac:dyDescent="0.3">
      <c r="C60" s="6"/>
      <c r="D60" s="6"/>
      <c r="E60" s="6"/>
    </row>
    <row r="61" spans="3:5" x14ac:dyDescent="0.3">
      <c r="C61" s="6"/>
      <c r="D61" s="6"/>
      <c r="E61" s="6"/>
    </row>
    <row r="62" spans="3:5" x14ac:dyDescent="0.3">
      <c r="C62" s="6"/>
      <c r="D62" s="6"/>
      <c r="E62" s="6"/>
    </row>
    <row r="63" spans="3:5" x14ac:dyDescent="0.3">
      <c r="C63" s="6"/>
      <c r="D63" s="6"/>
      <c r="E63" s="6"/>
    </row>
    <row r="64" spans="3:5" x14ac:dyDescent="0.3">
      <c r="C64" s="6"/>
      <c r="D64" s="6"/>
      <c r="E64" s="6"/>
    </row>
    <row r="65" spans="3:5" x14ac:dyDescent="0.3">
      <c r="C65" s="6"/>
      <c r="D65" s="6"/>
      <c r="E65" s="6"/>
    </row>
    <row r="66" spans="3:5" x14ac:dyDescent="0.3">
      <c r="C66" s="6"/>
      <c r="D66" s="6"/>
      <c r="E66" s="6"/>
    </row>
    <row r="67" spans="3:5" x14ac:dyDescent="0.3">
      <c r="C67" s="6"/>
      <c r="D67" s="6"/>
      <c r="E67" s="6"/>
    </row>
    <row r="68" spans="3:5" x14ac:dyDescent="0.3">
      <c r="C68" s="6"/>
      <c r="D68" s="6"/>
      <c r="E68" s="6"/>
    </row>
    <row r="69" spans="3:5" x14ac:dyDescent="0.3">
      <c r="C69" s="6"/>
      <c r="D69" s="6"/>
      <c r="E69" s="6"/>
    </row>
    <row r="70" spans="3:5" x14ac:dyDescent="0.3">
      <c r="C70" s="6"/>
      <c r="D70" s="6"/>
      <c r="E70" s="6"/>
    </row>
    <row r="71" spans="3:5" x14ac:dyDescent="0.3">
      <c r="C71" s="6"/>
      <c r="D71" s="6"/>
      <c r="E71" s="6"/>
    </row>
    <row r="72" spans="3:5" x14ac:dyDescent="0.3">
      <c r="C72" s="6"/>
      <c r="D72" s="6"/>
      <c r="E72" s="6"/>
    </row>
    <row r="73" spans="3:5" x14ac:dyDescent="0.3">
      <c r="C73" s="6"/>
      <c r="D73" s="6"/>
      <c r="E73" s="6"/>
    </row>
    <row r="74" spans="3:5" x14ac:dyDescent="0.3">
      <c r="C74" s="6"/>
      <c r="D74" s="6"/>
      <c r="E74" s="6"/>
    </row>
    <row r="75" spans="3:5" x14ac:dyDescent="0.3">
      <c r="C75" s="6"/>
      <c r="D75" s="6"/>
      <c r="E75" s="6"/>
    </row>
    <row r="76" spans="3:5" x14ac:dyDescent="0.3">
      <c r="C76" s="6"/>
      <c r="D76" s="6"/>
      <c r="E76" s="6"/>
    </row>
    <row r="77" spans="3:5" x14ac:dyDescent="0.3">
      <c r="C77" s="6"/>
      <c r="D77" s="6"/>
      <c r="E77" s="6"/>
    </row>
    <row r="78" spans="3:5" x14ac:dyDescent="0.3">
      <c r="C78" s="6"/>
      <c r="D78" s="6"/>
      <c r="E78" s="6"/>
    </row>
    <row r="79" spans="3:5" x14ac:dyDescent="0.3">
      <c r="C79" s="6"/>
      <c r="D79" s="6"/>
      <c r="E79" s="6"/>
    </row>
    <row r="80" spans="3:5" x14ac:dyDescent="0.3">
      <c r="C80" s="6"/>
      <c r="D80" s="6"/>
      <c r="E80" s="6"/>
    </row>
    <row r="81" spans="3:5" x14ac:dyDescent="0.3">
      <c r="C81" s="6"/>
      <c r="D81" s="6"/>
      <c r="E81" s="6"/>
    </row>
    <row r="82" spans="3:5" x14ac:dyDescent="0.3">
      <c r="C82" s="6"/>
      <c r="D82" s="6"/>
      <c r="E82" s="6"/>
    </row>
    <row r="83" spans="3:5" x14ac:dyDescent="0.3">
      <c r="C83" s="6"/>
      <c r="D83" s="6"/>
      <c r="E83" s="6"/>
    </row>
    <row r="84" spans="3:5" x14ac:dyDescent="0.3">
      <c r="C84" s="6"/>
      <c r="D84" s="6"/>
      <c r="E84" s="6"/>
    </row>
    <row r="85" spans="3:5" x14ac:dyDescent="0.3">
      <c r="C85" s="6"/>
      <c r="D85" s="6"/>
      <c r="E85" s="6"/>
    </row>
    <row r="86" spans="3:5" x14ac:dyDescent="0.3">
      <c r="C86" s="6"/>
      <c r="D86" s="6"/>
      <c r="E86" s="6"/>
    </row>
    <row r="87" spans="3:5" x14ac:dyDescent="0.3">
      <c r="C87" s="6"/>
      <c r="D87" s="6"/>
      <c r="E87" s="6"/>
    </row>
    <row r="88" spans="3:5" x14ac:dyDescent="0.3">
      <c r="C88" s="6"/>
      <c r="D88" s="6"/>
      <c r="E88" s="6"/>
    </row>
    <row r="89" spans="3:5" x14ac:dyDescent="0.3">
      <c r="C89" s="6"/>
      <c r="D89" s="6"/>
      <c r="E89" s="6"/>
    </row>
    <row r="90" spans="3:5" x14ac:dyDescent="0.3">
      <c r="C90" s="6"/>
      <c r="D90" s="6"/>
      <c r="E90" s="6"/>
    </row>
    <row r="91" spans="3:5" x14ac:dyDescent="0.3">
      <c r="C91" s="6"/>
      <c r="D91" s="6"/>
      <c r="E91" s="6"/>
    </row>
    <row r="92" spans="3:5" x14ac:dyDescent="0.3">
      <c r="C92" s="6"/>
      <c r="D92" s="6"/>
      <c r="E92" s="6"/>
    </row>
    <row r="93" spans="3:5" x14ac:dyDescent="0.3">
      <c r="C93" s="6"/>
      <c r="D93" s="6"/>
      <c r="E93" s="6"/>
    </row>
    <row r="94" spans="3:5" x14ac:dyDescent="0.3">
      <c r="C94" s="6"/>
      <c r="D94" s="6"/>
      <c r="E94" s="6"/>
    </row>
    <row r="95" spans="3:5" x14ac:dyDescent="0.3">
      <c r="C95" s="6"/>
      <c r="D95" s="6"/>
      <c r="E95" s="6"/>
    </row>
    <row r="96" spans="3:5" x14ac:dyDescent="0.3">
      <c r="C96" s="6"/>
      <c r="D96" s="6"/>
      <c r="E96" s="6"/>
    </row>
    <row r="97" spans="3:5" x14ac:dyDescent="0.3">
      <c r="C97" s="6"/>
      <c r="D97" s="6"/>
      <c r="E97" s="6"/>
    </row>
    <row r="98" spans="3:5" x14ac:dyDescent="0.3">
      <c r="C98" s="6"/>
      <c r="D98" s="6"/>
      <c r="E98" s="6"/>
    </row>
    <row r="99" spans="3:5" x14ac:dyDescent="0.3">
      <c r="C99" s="6"/>
      <c r="D99" s="6"/>
      <c r="E99" s="6"/>
    </row>
    <row r="100" spans="3:5" x14ac:dyDescent="0.3">
      <c r="C100" s="6"/>
      <c r="D100" s="6"/>
      <c r="E100" s="6"/>
    </row>
    <row r="101" spans="3:5" x14ac:dyDescent="0.3">
      <c r="C101" s="6"/>
      <c r="D101" s="6"/>
      <c r="E101" s="6"/>
    </row>
    <row r="102" spans="3:5" x14ac:dyDescent="0.3">
      <c r="C102" s="6"/>
      <c r="D102" s="6"/>
      <c r="E102" s="6"/>
    </row>
    <row r="103" spans="3:5" x14ac:dyDescent="0.3">
      <c r="C103" s="6"/>
      <c r="D103" s="6"/>
      <c r="E103" s="6"/>
    </row>
    <row r="104" spans="3:5" x14ac:dyDescent="0.3">
      <c r="C104" s="6"/>
      <c r="D104" s="6"/>
      <c r="E104" s="6"/>
    </row>
    <row r="105" spans="3:5" x14ac:dyDescent="0.3">
      <c r="C105" s="6"/>
      <c r="D105" s="6"/>
      <c r="E105" s="6"/>
    </row>
    <row r="106" spans="3:5" x14ac:dyDescent="0.3">
      <c r="C106" s="6"/>
      <c r="D106" s="6"/>
      <c r="E106" s="6"/>
    </row>
    <row r="107" spans="3:5" x14ac:dyDescent="0.3">
      <c r="C107" s="6"/>
      <c r="D107" s="6"/>
      <c r="E107" s="6"/>
    </row>
    <row r="108" spans="3:5" x14ac:dyDescent="0.3">
      <c r="C108" s="6"/>
      <c r="D108" s="6"/>
      <c r="E108" s="6"/>
    </row>
    <row r="109" spans="3:5" x14ac:dyDescent="0.3">
      <c r="C109" s="6"/>
      <c r="D109" s="6"/>
      <c r="E109" s="6"/>
    </row>
    <row r="110" spans="3:5" x14ac:dyDescent="0.3">
      <c r="C110" s="6"/>
      <c r="D110" s="6"/>
      <c r="E110" s="6"/>
    </row>
    <row r="111" spans="3:5" x14ac:dyDescent="0.3">
      <c r="C111" s="6"/>
      <c r="D111" s="6"/>
      <c r="E111" s="6"/>
    </row>
    <row r="112" spans="3:5" x14ac:dyDescent="0.3">
      <c r="C112" s="6"/>
      <c r="D112" s="6"/>
      <c r="E112" s="6"/>
    </row>
    <row r="113" spans="3:5" x14ac:dyDescent="0.3">
      <c r="C113" s="6"/>
      <c r="D113" s="6"/>
      <c r="E113" s="6"/>
    </row>
    <row r="114" spans="3:5" x14ac:dyDescent="0.3">
      <c r="C114" s="6"/>
      <c r="D114" s="6"/>
      <c r="E114" s="6"/>
    </row>
    <row r="115" spans="3:5" x14ac:dyDescent="0.3">
      <c r="C115" s="6"/>
      <c r="D115" s="6"/>
      <c r="E115" s="6"/>
    </row>
    <row r="116" spans="3:5" x14ac:dyDescent="0.3">
      <c r="C116" s="6"/>
      <c r="D116" s="6"/>
      <c r="E116" s="6"/>
    </row>
    <row r="117" spans="3:5" x14ac:dyDescent="0.3">
      <c r="C117" s="6"/>
      <c r="D117" s="6"/>
      <c r="E117" s="6"/>
    </row>
    <row r="118" spans="3:5" x14ac:dyDescent="0.3">
      <c r="C118" s="6"/>
      <c r="D118" s="6"/>
      <c r="E118" s="6"/>
    </row>
    <row r="119" spans="3:5" x14ac:dyDescent="0.3">
      <c r="C119" s="6"/>
      <c r="D119" s="6"/>
      <c r="E119" s="6"/>
    </row>
    <row r="120" spans="3:5" x14ac:dyDescent="0.3">
      <c r="C120" s="6"/>
      <c r="D120" s="6"/>
      <c r="E120" s="6"/>
    </row>
    <row r="121" spans="3:5" x14ac:dyDescent="0.3">
      <c r="C121" s="6"/>
      <c r="D121" s="6"/>
      <c r="E121" s="6"/>
    </row>
    <row r="122" spans="3:5" x14ac:dyDescent="0.3">
      <c r="C122" s="6"/>
      <c r="D122" s="6"/>
      <c r="E122" s="6"/>
    </row>
    <row r="123" spans="3:5" x14ac:dyDescent="0.3">
      <c r="C123" s="6"/>
      <c r="D123" s="6"/>
      <c r="E123" s="6"/>
    </row>
    <row r="124" spans="3:5" x14ac:dyDescent="0.3">
      <c r="C124" s="6"/>
      <c r="D124" s="6"/>
      <c r="E124" s="6"/>
    </row>
    <row r="125" spans="3:5" x14ac:dyDescent="0.3">
      <c r="C125" s="6"/>
      <c r="D125" s="6"/>
      <c r="E125" s="6"/>
    </row>
    <row r="126" spans="3:5" x14ac:dyDescent="0.3">
      <c r="C126" s="6"/>
      <c r="D126" s="6"/>
      <c r="E126" s="6"/>
    </row>
    <row r="127" spans="3:5" x14ac:dyDescent="0.3">
      <c r="C127" s="6"/>
      <c r="D127" s="6"/>
      <c r="E127" s="6"/>
    </row>
    <row r="128" spans="3:5" x14ac:dyDescent="0.3">
      <c r="C128" s="6"/>
      <c r="D128" s="6"/>
      <c r="E128" s="6"/>
    </row>
    <row r="129" spans="3:5" x14ac:dyDescent="0.3">
      <c r="C129" s="6"/>
      <c r="D129" s="6"/>
      <c r="E129" s="6"/>
    </row>
    <row r="130" spans="3:5" x14ac:dyDescent="0.3">
      <c r="C130" s="6"/>
      <c r="D130" s="6"/>
      <c r="E130" s="6"/>
    </row>
    <row r="131" spans="3:5" x14ac:dyDescent="0.3">
      <c r="C131" s="6"/>
      <c r="D131" s="6"/>
      <c r="E131" s="6"/>
    </row>
    <row r="132" spans="3:5" x14ac:dyDescent="0.3">
      <c r="C132" s="6"/>
      <c r="D132" s="6"/>
      <c r="E132" s="6"/>
    </row>
    <row r="133" spans="3:5" x14ac:dyDescent="0.3">
      <c r="C133" s="6"/>
      <c r="D133" s="6"/>
      <c r="E133" s="6"/>
    </row>
    <row r="134" spans="3:5" x14ac:dyDescent="0.3">
      <c r="C134" s="6"/>
      <c r="D134" s="6"/>
      <c r="E134" s="6"/>
    </row>
    <row r="135" spans="3:5" x14ac:dyDescent="0.3">
      <c r="C135" s="6"/>
      <c r="D135" s="6"/>
      <c r="E135" s="6"/>
    </row>
    <row r="136" spans="3:5" x14ac:dyDescent="0.3">
      <c r="C136" s="6"/>
      <c r="D136" s="6"/>
      <c r="E136" s="6"/>
    </row>
    <row r="137" spans="3:5" x14ac:dyDescent="0.3">
      <c r="C137" s="6"/>
      <c r="D137" s="6"/>
      <c r="E137" s="6"/>
    </row>
    <row r="138" spans="3:5" x14ac:dyDescent="0.3">
      <c r="C138" s="6"/>
      <c r="D138" s="6"/>
      <c r="E138" s="6"/>
    </row>
    <row r="139" spans="3:5" x14ac:dyDescent="0.3">
      <c r="C139" s="6"/>
      <c r="D139" s="6"/>
      <c r="E139" s="6"/>
    </row>
    <row r="140" spans="3:5" x14ac:dyDescent="0.3">
      <c r="C140" s="6"/>
      <c r="D140" s="6"/>
      <c r="E140" s="6"/>
    </row>
    <row r="141" spans="3:5" x14ac:dyDescent="0.3">
      <c r="C141" s="6"/>
      <c r="D141" s="6"/>
      <c r="E141" s="6"/>
    </row>
    <row r="142" spans="3:5" x14ac:dyDescent="0.3">
      <c r="C142" s="6"/>
      <c r="D142" s="6"/>
      <c r="E142" s="6"/>
    </row>
    <row r="143" spans="3:5" x14ac:dyDescent="0.3">
      <c r="C143" s="6"/>
      <c r="D143" s="6"/>
      <c r="E143" s="6"/>
    </row>
    <row r="144" spans="3:5" x14ac:dyDescent="0.3">
      <c r="C144" s="6"/>
      <c r="D144" s="6"/>
      <c r="E144" s="6"/>
    </row>
    <row r="145" spans="3:5" x14ac:dyDescent="0.3">
      <c r="C145" s="6"/>
      <c r="D145" s="6"/>
      <c r="E145" s="6"/>
    </row>
    <row r="146" spans="3:5" x14ac:dyDescent="0.3">
      <c r="C146" s="6"/>
      <c r="D146" s="6"/>
      <c r="E146" s="6"/>
    </row>
    <row r="147" spans="3:5" x14ac:dyDescent="0.3">
      <c r="C147" s="6"/>
      <c r="D147" s="6"/>
      <c r="E147" s="6"/>
    </row>
    <row r="148" spans="3:5" x14ac:dyDescent="0.3">
      <c r="C148" s="6"/>
      <c r="D148" s="6"/>
      <c r="E148" s="6"/>
    </row>
    <row r="149" spans="3:5" x14ac:dyDescent="0.3">
      <c r="C149" s="6"/>
      <c r="D149" s="6"/>
      <c r="E149" s="6"/>
    </row>
    <row r="150" spans="3:5" x14ac:dyDescent="0.3">
      <c r="C150" s="6"/>
      <c r="D150" s="6"/>
      <c r="E150" s="6"/>
    </row>
    <row r="151" spans="3:5" x14ac:dyDescent="0.3">
      <c r="C151" s="6"/>
      <c r="D151" s="6"/>
      <c r="E151" s="6"/>
    </row>
    <row r="152" spans="3:5" x14ac:dyDescent="0.3">
      <c r="C152" s="6"/>
      <c r="D152" s="6"/>
      <c r="E152" s="6"/>
    </row>
    <row r="153" spans="3:5" x14ac:dyDescent="0.3">
      <c r="C153" s="6"/>
      <c r="D153" s="6"/>
      <c r="E153" s="6"/>
    </row>
    <row r="154" spans="3:5" x14ac:dyDescent="0.3">
      <c r="C154" s="6"/>
      <c r="D154" s="6"/>
      <c r="E154" s="6"/>
    </row>
    <row r="155" spans="3:5" x14ac:dyDescent="0.3">
      <c r="C155" s="6"/>
      <c r="D155" s="6"/>
      <c r="E155" s="6"/>
    </row>
    <row r="156" spans="3:5" x14ac:dyDescent="0.3">
      <c r="C156" s="6"/>
      <c r="D156" s="6"/>
      <c r="E156" s="6"/>
    </row>
    <row r="157" spans="3:5" x14ac:dyDescent="0.3">
      <c r="C157" s="6"/>
      <c r="D157" s="6"/>
      <c r="E157" s="6"/>
    </row>
    <row r="158" spans="3:5" x14ac:dyDescent="0.3">
      <c r="C158" s="6"/>
      <c r="D158" s="6"/>
      <c r="E158" s="6"/>
    </row>
    <row r="159" spans="3:5" x14ac:dyDescent="0.3">
      <c r="C159" s="6"/>
      <c r="D159" s="6"/>
      <c r="E159" s="6"/>
    </row>
    <row r="160" spans="3:5" x14ac:dyDescent="0.3">
      <c r="C160" s="6"/>
      <c r="D160" s="6"/>
      <c r="E160" s="6"/>
    </row>
    <row r="161" spans="3:5" x14ac:dyDescent="0.3">
      <c r="C161" s="6"/>
      <c r="D161" s="6"/>
      <c r="E161" s="6"/>
    </row>
    <row r="162" spans="3:5" x14ac:dyDescent="0.3">
      <c r="C162" s="6"/>
      <c r="D162" s="6"/>
      <c r="E162" s="6"/>
    </row>
    <row r="163" spans="3:5" x14ac:dyDescent="0.3">
      <c r="C163" s="6"/>
      <c r="D163" s="6"/>
      <c r="E163" s="6"/>
    </row>
    <row r="164" spans="3:5" x14ac:dyDescent="0.3">
      <c r="C164" s="6"/>
      <c r="D164" s="6"/>
      <c r="E164" s="6"/>
    </row>
    <row r="165" spans="3:5" x14ac:dyDescent="0.3">
      <c r="C165" s="6"/>
      <c r="D165" s="6"/>
      <c r="E165" s="6"/>
    </row>
    <row r="166" spans="3:5" x14ac:dyDescent="0.3">
      <c r="C166" s="6"/>
      <c r="D166" s="6"/>
      <c r="E166" s="6"/>
    </row>
    <row r="167" spans="3:5" x14ac:dyDescent="0.3">
      <c r="C167" s="6"/>
      <c r="D167" s="6"/>
      <c r="E167" s="6"/>
    </row>
    <row r="168" spans="3:5" x14ac:dyDescent="0.3">
      <c r="C168" s="6"/>
      <c r="D168" s="6"/>
      <c r="E168" s="6"/>
    </row>
    <row r="169" spans="3:5" x14ac:dyDescent="0.3">
      <c r="C169" s="6"/>
      <c r="D169" s="6"/>
      <c r="E169" s="6"/>
    </row>
    <row r="170" spans="3:5" x14ac:dyDescent="0.3">
      <c r="C170" s="6"/>
      <c r="D170" s="6"/>
      <c r="E170" s="6"/>
    </row>
    <row r="171" spans="3:5" x14ac:dyDescent="0.3">
      <c r="C171" s="6"/>
      <c r="D171" s="6"/>
      <c r="E171" s="6"/>
    </row>
    <row r="172" spans="3:5" x14ac:dyDescent="0.3">
      <c r="C172" s="6"/>
      <c r="D172" s="6"/>
      <c r="E172" s="6"/>
    </row>
    <row r="173" spans="3:5" x14ac:dyDescent="0.3">
      <c r="C173" s="6"/>
      <c r="D173" s="6"/>
      <c r="E173" s="6"/>
    </row>
    <row r="174" spans="3:5" x14ac:dyDescent="0.3">
      <c r="C174" s="6"/>
      <c r="D174" s="6"/>
      <c r="E174" s="6"/>
    </row>
    <row r="175" spans="3:5" x14ac:dyDescent="0.3">
      <c r="C175" s="6"/>
      <c r="D175" s="6"/>
      <c r="E175" s="6"/>
    </row>
    <row r="176" spans="3:5" x14ac:dyDescent="0.3">
      <c r="C176" s="6"/>
      <c r="D176" s="6"/>
      <c r="E176" s="6"/>
    </row>
    <row r="177" spans="3:5" x14ac:dyDescent="0.3">
      <c r="C177" s="6"/>
      <c r="D177" s="6"/>
      <c r="E177" s="6"/>
    </row>
    <row r="178" spans="3:5" x14ac:dyDescent="0.3">
      <c r="C178" s="6"/>
      <c r="D178" s="6"/>
      <c r="E178" s="6"/>
    </row>
    <row r="179" spans="3:5" x14ac:dyDescent="0.3">
      <c r="C179" s="6"/>
      <c r="D179" s="6"/>
      <c r="E179" s="6"/>
    </row>
    <row r="180" spans="3:5" x14ac:dyDescent="0.3">
      <c r="C180" s="6"/>
      <c r="D180" s="6"/>
      <c r="E180" s="6"/>
    </row>
    <row r="181" spans="3:5" x14ac:dyDescent="0.3">
      <c r="C181" s="6"/>
      <c r="D181" s="6"/>
      <c r="E181" s="6"/>
    </row>
    <row r="182" spans="3:5" x14ac:dyDescent="0.3">
      <c r="C182" s="6"/>
      <c r="D182" s="6"/>
      <c r="E182" s="6"/>
    </row>
    <row r="183" spans="3:5" x14ac:dyDescent="0.3">
      <c r="C183" s="6"/>
      <c r="D183" s="6"/>
      <c r="E183" s="6"/>
    </row>
    <row r="184" spans="3:5" x14ac:dyDescent="0.3">
      <c r="C184" s="6"/>
      <c r="D184" s="6"/>
      <c r="E184" s="6"/>
    </row>
    <row r="185" spans="3:5" x14ac:dyDescent="0.3">
      <c r="C185" s="6"/>
      <c r="D185" s="6"/>
      <c r="E185" s="6"/>
    </row>
    <row r="186" spans="3:5" x14ac:dyDescent="0.3">
      <c r="C186" s="6"/>
      <c r="D186" s="6"/>
      <c r="E186" s="6"/>
    </row>
    <row r="187" spans="3:5" x14ac:dyDescent="0.3">
      <c r="C187" s="6"/>
      <c r="D187" s="6"/>
      <c r="E187" s="6"/>
    </row>
    <row r="188" spans="3:5" x14ac:dyDescent="0.3">
      <c r="C188" s="6"/>
      <c r="D188" s="6"/>
      <c r="E188" s="6"/>
    </row>
    <row r="189" spans="3:5" x14ac:dyDescent="0.3">
      <c r="C189" s="6"/>
      <c r="D189" s="6"/>
      <c r="E189" s="6"/>
    </row>
    <row r="190" spans="3:5" x14ac:dyDescent="0.3">
      <c r="C190" s="6"/>
      <c r="D190" s="6"/>
      <c r="E190" s="6"/>
    </row>
    <row r="191" spans="3:5" x14ac:dyDescent="0.3">
      <c r="C191" s="6"/>
      <c r="D191" s="6"/>
      <c r="E191" s="6"/>
    </row>
    <row r="192" spans="3:5" x14ac:dyDescent="0.3">
      <c r="C192" s="6"/>
      <c r="D192" s="6"/>
      <c r="E192" s="6"/>
    </row>
    <row r="193" spans="3:5" x14ac:dyDescent="0.3">
      <c r="C193" s="6"/>
      <c r="D193" s="6"/>
      <c r="E193" s="6"/>
    </row>
    <row r="194" spans="3:5" x14ac:dyDescent="0.3">
      <c r="C194" s="6"/>
      <c r="D194" s="6"/>
      <c r="E194" s="6"/>
    </row>
    <row r="195" spans="3:5" x14ac:dyDescent="0.3">
      <c r="C195" s="6"/>
      <c r="D195" s="6"/>
      <c r="E195" s="6"/>
    </row>
    <row r="196" spans="3:5" x14ac:dyDescent="0.3">
      <c r="C196" s="6"/>
      <c r="D196" s="6"/>
      <c r="E196" s="6"/>
    </row>
    <row r="197" spans="3:5" x14ac:dyDescent="0.3">
      <c r="C197" s="6"/>
      <c r="D197" s="6"/>
      <c r="E197" s="6"/>
    </row>
    <row r="198" spans="3:5" x14ac:dyDescent="0.3">
      <c r="C198" s="6"/>
      <c r="D198" s="6"/>
      <c r="E198" s="6"/>
    </row>
    <row r="199" spans="3:5" x14ac:dyDescent="0.3">
      <c r="C199" s="6"/>
      <c r="D199" s="6"/>
      <c r="E199" s="6"/>
    </row>
    <row r="200" spans="3:5" x14ac:dyDescent="0.3">
      <c r="C200" s="6"/>
      <c r="D200" s="6"/>
      <c r="E200" s="6"/>
    </row>
    <row r="201" spans="3:5" x14ac:dyDescent="0.3">
      <c r="C201" s="6"/>
      <c r="D201" s="6"/>
      <c r="E201" s="6"/>
    </row>
    <row r="202" spans="3:5" x14ac:dyDescent="0.3">
      <c r="C202" s="6"/>
      <c r="D202" s="6"/>
      <c r="E202" s="6"/>
    </row>
    <row r="203" spans="3:5" x14ac:dyDescent="0.3">
      <c r="C203" s="6"/>
      <c r="D203" s="6"/>
      <c r="E203" s="6"/>
    </row>
    <row r="204" spans="3:5" x14ac:dyDescent="0.3">
      <c r="C204" s="6"/>
      <c r="D204" s="6"/>
      <c r="E204" s="6"/>
    </row>
    <row r="205" spans="3:5" x14ac:dyDescent="0.3">
      <c r="C205" s="6"/>
      <c r="D205" s="6"/>
      <c r="E205" s="6"/>
    </row>
    <row r="206" spans="3:5" x14ac:dyDescent="0.3">
      <c r="C206" s="6"/>
      <c r="D206" s="6"/>
      <c r="E206" s="6"/>
    </row>
    <row r="207" spans="3:5" x14ac:dyDescent="0.3">
      <c r="C207" s="6"/>
      <c r="D207" s="6"/>
      <c r="E207" s="6"/>
    </row>
    <row r="208" spans="3:5" x14ac:dyDescent="0.3">
      <c r="C208" s="6"/>
      <c r="D208" s="6"/>
      <c r="E208" s="6"/>
    </row>
    <row r="209" spans="3:5" x14ac:dyDescent="0.3">
      <c r="C209" s="6"/>
      <c r="D209" s="6"/>
      <c r="E209" s="6"/>
    </row>
    <row r="210" spans="3:5" x14ac:dyDescent="0.3">
      <c r="C210" s="6"/>
      <c r="D210" s="6"/>
      <c r="E210" s="6"/>
    </row>
    <row r="211" spans="3:5" x14ac:dyDescent="0.3">
      <c r="C211" s="6"/>
      <c r="D211" s="6"/>
      <c r="E211" s="6"/>
    </row>
    <row r="212" spans="3:5" x14ac:dyDescent="0.3">
      <c r="C212" s="6"/>
      <c r="D212" s="6"/>
      <c r="E212" s="6"/>
    </row>
    <row r="213" spans="3:5" x14ac:dyDescent="0.3">
      <c r="C213" s="6"/>
      <c r="D213" s="6"/>
      <c r="E213" s="6"/>
    </row>
    <row r="214" spans="3:5" x14ac:dyDescent="0.3">
      <c r="C214" s="6"/>
      <c r="D214" s="6"/>
      <c r="E214" s="6"/>
    </row>
    <row r="215" spans="3:5" x14ac:dyDescent="0.3">
      <c r="C215" s="6"/>
      <c r="D215" s="6"/>
      <c r="E215" s="6"/>
    </row>
    <row r="216" spans="3:5" x14ac:dyDescent="0.3">
      <c r="C216" s="6"/>
      <c r="D216" s="6"/>
      <c r="E216" s="6"/>
    </row>
    <row r="217" spans="3:5" x14ac:dyDescent="0.3">
      <c r="C217" s="6"/>
      <c r="D217" s="6"/>
      <c r="E217" s="6"/>
    </row>
    <row r="218" spans="3:5" x14ac:dyDescent="0.3">
      <c r="C218" s="6"/>
      <c r="D218" s="6"/>
      <c r="E218" s="6"/>
    </row>
    <row r="219" spans="3:5" x14ac:dyDescent="0.3">
      <c r="C219" s="6"/>
      <c r="D219" s="6"/>
      <c r="E219" s="6"/>
    </row>
    <row r="220" spans="3:5" x14ac:dyDescent="0.3">
      <c r="C220" s="6"/>
      <c r="D220" s="6"/>
      <c r="E220" s="6"/>
    </row>
    <row r="221" spans="3:5" x14ac:dyDescent="0.3">
      <c r="C221" s="6"/>
      <c r="D221" s="6"/>
      <c r="E221" s="6"/>
    </row>
    <row r="222" spans="3:5" x14ac:dyDescent="0.3">
      <c r="C222" s="6"/>
      <c r="D222" s="6"/>
      <c r="E222" s="6"/>
    </row>
    <row r="223" spans="3:5" x14ac:dyDescent="0.3">
      <c r="C223" s="6"/>
      <c r="D223" s="6"/>
      <c r="E223" s="6"/>
    </row>
    <row r="224" spans="3:5" x14ac:dyDescent="0.3">
      <c r="C224" s="6"/>
      <c r="D224" s="6"/>
      <c r="E224" s="6"/>
    </row>
    <row r="225" spans="3:5" x14ac:dyDescent="0.3">
      <c r="C225" s="6"/>
      <c r="D225" s="6"/>
      <c r="E225" s="6"/>
    </row>
    <row r="226" spans="3:5" x14ac:dyDescent="0.3">
      <c r="C226" s="6"/>
      <c r="D226" s="6"/>
      <c r="E226" s="6"/>
    </row>
    <row r="227" spans="3:5" x14ac:dyDescent="0.3">
      <c r="C227" s="6"/>
      <c r="D227" s="6"/>
      <c r="E227" s="6"/>
    </row>
    <row r="228" spans="3:5" x14ac:dyDescent="0.3">
      <c r="C228" s="6"/>
      <c r="D228" s="6"/>
      <c r="E228" s="6"/>
    </row>
    <row r="229" spans="3:5" x14ac:dyDescent="0.3">
      <c r="C229" s="6"/>
      <c r="D229" s="6"/>
      <c r="E229" s="6"/>
    </row>
    <row r="230" spans="3:5" x14ac:dyDescent="0.3">
      <c r="C230" s="6"/>
      <c r="D230" s="6"/>
      <c r="E230" s="6"/>
    </row>
    <row r="231" spans="3:5" x14ac:dyDescent="0.3">
      <c r="C231" s="6"/>
      <c r="D231" s="6"/>
      <c r="E231" s="6"/>
    </row>
    <row r="232" spans="3:5" x14ac:dyDescent="0.3">
      <c r="C232" s="6"/>
      <c r="D232" s="6"/>
      <c r="E232" s="6"/>
    </row>
    <row r="233" spans="3:5" x14ac:dyDescent="0.3">
      <c r="C233" s="6"/>
      <c r="D233" s="6"/>
      <c r="E233" s="6"/>
    </row>
    <row r="234" spans="3:5" x14ac:dyDescent="0.3">
      <c r="C234" s="6"/>
      <c r="D234" s="6"/>
      <c r="E234" s="6"/>
    </row>
    <row r="235" spans="3:5" x14ac:dyDescent="0.3">
      <c r="C235" s="6"/>
      <c r="D235" s="6"/>
      <c r="E235" s="6"/>
    </row>
    <row r="236" spans="3:5" x14ac:dyDescent="0.3">
      <c r="C236" s="6"/>
      <c r="D236" s="6"/>
      <c r="E236" s="6"/>
    </row>
    <row r="237" spans="3:5" x14ac:dyDescent="0.3">
      <c r="C237" s="6"/>
      <c r="D237" s="6"/>
      <c r="E237" s="6"/>
    </row>
    <row r="238" spans="3:5" x14ac:dyDescent="0.3">
      <c r="C238" s="6"/>
      <c r="D238" s="6"/>
      <c r="E238" s="6"/>
    </row>
    <row r="239" spans="3:5" x14ac:dyDescent="0.3">
      <c r="C239" s="6"/>
      <c r="D239" s="6"/>
      <c r="E239" s="6"/>
    </row>
    <row r="240" spans="3:5" x14ac:dyDescent="0.3">
      <c r="C240" s="6"/>
      <c r="D240" s="6"/>
      <c r="E240" s="6"/>
    </row>
    <row r="241" spans="3:6" x14ac:dyDescent="0.3">
      <c r="C241" s="6"/>
      <c r="D241" s="6"/>
      <c r="E241" s="6"/>
    </row>
    <row r="242" spans="3:6" x14ac:dyDescent="0.3">
      <c r="C242" s="6"/>
      <c r="D242" s="6"/>
      <c r="E242" s="6"/>
      <c r="F242" s="21"/>
    </row>
    <row r="243" spans="3:6" x14ac:dyDescent="0.3">
      <c r="C243" s="6"/>
      <c r="D243" s="6"/>
      <c r="E243" s="6"/>
    </row>
    <row r="244" spans="3:6" x14ac:dyDescent="0.3">
      <c r="C244" s="6"/>
      <c r="D244" s="6"/>
      <c r="E244" s="6"/>
    </row>
    <row r="245" spans="3:6" x14ac:dyDescent="0.3">
      <c r="C245" s="6"/>
      <c r="D245" s="6"/>
      <c r="E245" s="6"/>
    </row>
    <row r="246" spans="3:6" x14ac:dyDescent="0.3">
      <c r="C246" s="6"/>
      <c r="D246" s="6"/>
      <c r="E246" s="6"/>
    </row>
    <row r="247" spans="3:6" x14ac:dyDescent="0.3">
      <c r="C247" s="6"/>
      <c r="D247" s="6"/>
      <c r="E247" s="6"/>
    </row>
    <row r="248" spans="3:6" x14ac:dyDescent="0.3">
      <c r="C248" s="6"/>
      <c r="D248" s="6"/>
      <c r="E248" s="6"/>
    </row>
    <row r="249" spans="3:6" x14ac:dyDescent="0.3">
      <c r="C249" s="6"/>
      <c r="D249" s="6"/>
      <c r="E249" s="6"/>
    </row>
    <row r="250" spans="3:6" x14ac:dyDescent="0.3">
      <c r="C250" s="6"/>
      <c r="D250" s="6"/>
      <c r="E250" s="6"/>
    </row>
    <row r="251" spans="3:6" x14ac:dyDescent="0.3">
      <c r="C251" s="6"/>
      <c r="D251" s="6"/>
      <c r="E251" s="6"/>
    </row>
    <row r="252" spans="3:6" x14ac:dyDescent="0.3">
      <c r="C252" s="6"/>
      <c r="D252" s="6"/>
      <c r="E252" s="6"/>
    </row>
    <row r="253" spans="3:6" x14ac:dyDescent="0.3">
      <c r="C253" s="6"/>
      <c r="D253" s="6"/>
      <c r="E253" s="6"/>
    </row>
    <row r="254" spans="3:6" x14ac:dyDescent="0.3">
      <c r="C254" s="6"/>
      <c r="D254" s="6"/>
      <c r="E254" s="6"/>
    </row>
    <row r="255" spans="3:6" x14ac:dyDescent="0.3">
      <c r="C255" s="6"/>
      <c r="D255" s="6"/>
      <c r="E255" s="6"/>
    </row>
    <row r="256" spans="3:6" x14ac:dyDescent="0.3">
      <c r="C256" s="6"/>
      <c r="D256" s="6"/>
      <c r="E256" s="6"/>
    </row>
    <row r="257" spans="3:5" x14ac:dyDescent="0.3">
      <c r="C257" s="6"/>
      <c r="D257" s="6"/>
      <c r="E257" s="6"/>
    </row>
    <row r="258" spans="3:5" x14ac:dyDescent="0.3">
      <c r="C258" s="6"/>
      <c r="D258" s="6"/>
      <c r="E258" s="6"/>
    </row>
    <row r="259" spans="3:5" x14ac:dyDescent="0.3">
      <c r="C259" s="6"/>
      <c r="D259" s="6"/>
      <c r="E259" s="6"/>
    </row>
    <row r="260" spans="3:5" x14ac:dyDescent="0.3">
      <c r="C260" s="6"/>
      <c r="D260" s="6"/>
      <c r="E260" s="6"/>
    </row>
    <row r="261" spans="3:5" x14ac:dyDescent="0.3">
      <c r="C261" s="6"/>
      <c r="D261" s="6"/>
      <c r="E261" s="6"/>
    </row>
    <row r="262" spans="3:5" x14ac:dyDescent="0.3">
      <c r="C262" s="6"/>
      <c r="D262" s="6"/>
      <c r="E262" s="6"/>
    </row>
    <row r="263" spans="3:5" x14ac:dyDescent="0.3">
      <c r="C263" s="6"/>
      <c r="D263" s="6"/>
      <c r="E263" s="6"/>
    </row>
    <row r="264" spans="3:5" x14ac:dyDescent="0.3">
      <c r="C264" s="6"/>
      <c r="D264" s="6"/>
      <c r="E264" s="6"/>
    </row>
    <row r="265" spans="3:5" x14ac:dyDescent="0.3">
      <c r="C265" s="6"/>
      <c r="D265" s="6"/>
      <c r="E265" s="6"/>
    </row>
    <row r="266" spans="3:5" x14ac:dyDescent="0.3">
      <c r="C266" s="6"/>
      <c r="D266" s="6"/>
      <c r="E266" s="6"/>
    </row>
    <row r="267" spans="3:5" x14ac:dyDescent="0.3">
      <c r="C267" s="6"/>
      <c r="D267" s="6"/>
      <c r="E267" s="6"/>
    </row>
    <row r="268" spans="3:5" x14ac:dyDescent="0.3">
      <c r="C268" s="6"/>
      <c r="D268" s="6"/>
      <c r="E268" s="6"/>
    </row>
    <row r="269" spans="3:5" x14ac:dyDescent="0.3">
      <c r="C269" s="6"/>
      <c r="D269" s="6"/>
      <c r="E269" s="6"/>
    </row>
    <row r="270" spans="3:5" x14ac:dyDescent="0.3">
      <c r="C270" s="6"/>
      <c r="D270" s="6"/>
      <c r="E270" s="6"/>
    </row>
    <row r="271" spans="3:5" x14ac:dyDescent="0.3">
      <c r="C271" s="6"/>
      <c r="D271" s="6"/>
      <c r="E271" s="6"/>
    </row>
    <row r="272" spans="3:5" x14ac:dyDescent="0.3">
      <c r="C272" s="6"/>
      <c r="D272" s="6"/>
      <c r="E272" s="6"/>
    </row>
    <row r="273" spans="3:5" x14ac:dyDescent="0.3">
      <c r="C273" s="6"/>
      <c r="D273" s="6"/>
      <c r="E273" s="6"/>
    </row>
    <row r="274" spans="3:5" x14ac:dyDescent="0.3">
      <c r="C274" s="6"/>
      <c r="D274" s="6"/>
      <c r="E274" s="6"/>
    </row>
    <row r="275" spans="3:5" x14ac:dyDescent="0.3">
      <c r="C275" s="6"/>
      <c r="D275" s="6"/>
      <c r="E275" s="6"/>
    </row>
    <row r="276" spans="3:5" x14ac:dyDescent="0.3">
      <c r="C276" s="6"/>
      <c r="D276" s="6"/>
      <c r="E276" s="6"/>
    </row>
    <row r="277" spans="3:5" x14ac:dyDescent="0.3">
      <c r="C277" s="6"/>
      <c r="D277" s="6"/>
      <c r="E277" s="6"/>
    </row>
    <row r="278" spans="3:5" x14ac:dyDescent="0.3">
      <c r="C278" s="6"/>
      <c r="D278" s="6"/>
      <c r="E278" s="6"/>
    </row>
    <row r="279" spans="3:5" x14ac:dyDescent="0.3">
      <c r="C279" s="6"/>
      <c r="D279" s="6"/>
      <c r="E279" s="6"/>
    </row>
    <row r="280" spans="3:5" x14ac:dyDescent="0.3">
      <c r="C280" s="6"/>
      <c r="D280" s="6"/>
      <c r="E280" s="6"/>
    </row>
    <row r="281" spans="3:5" x14ac:dyDescent="0.3">
      <c r="C281" s="6"/>
      <c r="D281" s="6"/>
      <c r="E281" s="6"/>
    </row>
    <row r="282" spans="3:5" x14ac:dyDescent="0.3">
      <c r="C282" s="6"/>
      <c r="D282" s="6"/>
      <c r="E282" s="6"/>
    </row>
    <row r="283" spans="3:5" x14ac:dyDescent="0.3">
      <c r="C283" s="6"/>
      <c r="D283" s="6"/>
      <c r="E283" s="6"/>
    </row>
    <row r="284" spans="3:5" x14ac:dyDescent="0.3">
      <c r="C284" s="6"/>
      <c r="D284" s="6"/>
      <c r="E284" s="6"/>
    </row>
    <row r="285" spans="3:5" x14ac:dyDescent="0.3">
      <c r="C285" s="6"/>
      <c r="D285" s="6"/>
      <c r="E285" s="6"/>
    </row>
    <row r="286" spans="3:5" x14ac:dyDescent="0.3">
      <c r="C286" s="6"/>
      <c r="D286" s="6"/>
      <c r="E286" s="6"/>
    </row>
    <row r="287" spans="3:5" x14ac:dyDescent="0.3">
      <c r="C287" s="6"/>
      <c r="D287" s="6"/>
      <c r="E287" s="6"/>
    </row>
    <row r="288" spans="3:5" x14ac:dyDescent="0.3">
      <c r="C288" s="6"/>
      <c r="D288" s="6"/>
      <c r="E288" s="6"/>
    </row>
    <row r="289" spans="1:143" x14ac:dyDescent="0.3">
      <c r="C289" s="6"/>
      <c r="D289" s="6"/>
      <c r="E289" s="6"/>
    </row>
    <row r="290" spans="1:143" s="18" customFormat="1" x14ac:dyDescent="0.3">
      <c r="A290" s="1"/>
      <c r="B290" s="1"/>
      <c r="C290" s="6"/>
      <c r="D290" s="6"/>
      <c r="E290" s="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</row>
    <row r="291" spans="1:143" s="18" customFormat="1" x14ac:dyDescent="0.3">
      <c r="A291" s="1"/>
      <c r="B291" s="1"/>
      <c r="C291" s="6"/>
      <c r="D291" s="6"/>
      <c r="E291" s="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</row>
    <row r="292" spans="1:143" s="18" customFormat="1" x14ac:dyDescent="0.3">
      <c r="A292" s="1"/>
      <c r="B292" s="1"/>
      <c r="C292" s="6"/>
      <c r="D292" s="6"/>
      <c r="E292" s="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</row>
    <row r="293" spans="1:143" s="18" customFormat="1" x14ac:dyDescent="0.3">
      <c r="A293" s="1"/>
      <c r="B293" s="1"/>
      <c r="C293" s="6"/>
      <c r="D293" s="6"/>
      <c r="E293" s="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</row>
    <row r="294" spans="1:143" s="18" customFormat="1" x14ac:dyDescent="0.3">
      <c r="A294" s="1"/>
      <c r="B294" s="1"/>
      <c r="C294" s="6"/>
      <c r="D294" s="6"/>
      <c r="E294" s="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</row>
    <row r="295" spans="1:143" s="18" customFormat="1" x14ac:dyDescent="0.3">
      <c r="A295" s="1"/>
      <c r="B295" s="1"/>
      <c r="C295" s="6"/>
      <c r="D295" s="6"/>
      <c r="E295" s="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</row>
    <row r="296" spans="1:143" s="19" customFormat="1" x14ac:dyDescent="0.3">
      <c r="A296" s="1"/>
      <c r="B296" s="1"/>
      <c r="C296" s="6"/>
      <c r="D296" s="6"/>
      <c r="E296" s="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</row>
    <row r="297" spans="1:143" s="19" customFormat="1" x14ac:dyDescent="0.3">
      <c r="A297" s="1"/>
      <c r="B297" s="1"/>
      <c r="C297" s="6"/>
      <c r="D297" s="6"/>
      <c r="E297" s="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</row>
    <row r="298" spans="1:143" s="19" customFormat="1" x14ac:dyDescent="0.3">
      <c r="A298" s="1"/>
      <c r="B298" s="1"/>
      <c r="C298" s="6"/>
      <c r="D298" s="6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</row>
    <row r="299" spans="1:143" s="19" customFormat="1" x14ac:dyDescent="0.3">
      <c r="A299" s="1"/>
      <c r="B299" s="1"/>
      <c r="C299" s="6"/>
      <c r="D299" s="6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</row>
    <row r="300" spans="1:143" s="19" customFormat="1" x14ac:dyDescent="0.3">
      <c r="A300" s="1"/>
      <c r="B300" s="1"/>
      <c r="C300" s="6"/>
      <c r="D300" s="6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</row>
    <row r="301" spans="1:143" s="19" customFormat="1" x14ac:dyDescent="0.3">
      <c r="A301" s="1"/>
      <c r="B301" s="1"/>
      <c r="C301" s="6"/>
      <c r="D301" s="6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</row>
    <row r="302" spans="1:143" s="18" customFormat="1" x14ac:dyDescent="0.3">
      <c r="A302" s="1"/>
      <c r="B302" s="1"/>
      <c r="C302" s="6"/>
      <c r="D302" s="6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</row>
    <row r="303" spans="1:143" s="18" customFormat="1" x14ac:dyDescent="0.3">
      <c r="A303" s="1"/>
      <c r="B303" s="1"/>
      <c r="C303" s="6"/>
      <c r="D303" s="6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</row>
    <row r="304" spans="1:143" s="18" customFormat="1" x14ac:dyDescent="0.3">
      <c r="A304" s="1"/>
      <c r="B304" s="1"/>
      <c r="C304" s="6"/>
      <c r="D304" s="6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</row>
    <row r="305" spans="1:143" s="18" customFormat="1" x14ac:dyDescent="0.3">
      <c r="A305" s="1"/>
      <c r="B305" s="1"/>
      <c r="C305" s="6"/>
      <c r="D305" s="6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</row>
    <row r="306" spans="1:143" s="18" customFormat="1" x14ac:dyDescent="0.3">
      <c r="A306" s="1"/>
      <c r="B306" s="1"/>
      <c r="C306" s="6"/>
      <c r="D306" s="6"/>
      <c r="E306" s="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</row>
    <row r="307" spans="1:143" s="18" customFormat="1" x14ac:dyDescent="0.3">
      <c r="A307" s="1"/>
      <c r="B307" s="1"/>
      <c r="C307" s="6"/>
      <c r="D307" s="6"/>
      <c r="E307" s="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</row>
    <row r="308" spans="1:143" s="19" customFormat="1" x14ac:dyDescent="0.3">
      <c r="A308" s="1"/>
      <c r="B308" s="1"/>
      <c r="C308" s="6"/>
      <c r="D308" s="6"/>
      <c r="E308" s="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</row>
    <row r="309" spans="1:143" s="19" customFormat="1" x14ac:dyDescent="0.3">
      <c r="A309" s="1"/>
      <c r="B309" s="1"/>
      <c r="C309" s="6"/>
      <c r="D309" s="6"/>
      <c r="E309" s="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</row>
    <row r="310" spans="1:143" s="19" customFormat="1" x14ac:dyDescent="0.3">
      <c r="A310" s="1"/>
      <c r="B310" s="1"/>
      <c r="C310" s="6"/>
      <c r="D310" s="6"/>
      <c r="E310" s="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</row>
    <row r="311" spans="1:143" s="19" customFormat="1" x14ac:dyDescent="0.3">
      <c r="A311" s="1"/>
      <c r="B311" s="1"/>
      <c r="C311" s="6"/>
      <c r="D311" s="6"/>
      <c r="E311" s="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</row>
    <row r="312" spans="1:143" s="19" customFormat="1" x14ac:dyDescent="0.3">
      <c r="A312" s="1"/>
      <c r="B312" s="1"/>
      <c r="C312" s="6"/>
      <c r="D312" s="6"/>
      <c r="E312" s="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</row>
    <row r="313" spans="1:143" s="19" customFormat="1" x14ac:dyDescent="0.3">
      <c r="A313" s="1"/>
      <c r="B313" s="1"/>
      <c r="C313" s="6"/>
      <c r="D313" s="6"/>
      <c r="E313" s="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</row>
    <row r="314" spans="1:143" s="18" customFormat="1" x14ac:dyDescent="0.3">
      <c r="A314" s="1"/>
      <c r="B314" s="1"/>
      <c r="C314" s="6"/>
      <c r="D314" s="6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</row>
    <row r="315" spans="1:143" s="18" customFormat="1" x14ac:dyDescent="0.3">
      <c r="A315" s="1"/>
      <c r="B315" s="1"/>
      <c r="C315" s="6"/>
      <c r="D315" s="6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</row>
    <row r="316" spans="1:143" s="18" customFormat="1" x14ac:dyDescent="0.3">
      <c r="A316" s="1"/>
      <c r="B316" s="1"/>
      <c r="C316" s="6"/>
      <c r="D316" s="6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</row>
    <row r="317" spans="1:143" s="18" customFormat="1" x14ac:dyDescent="0.3">
      <c r="A317" s="1"/>
      <c r="B317" s="1"/>
      <c r="C317" s="6"/>
      <c r="D317" s="6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</row>
    <row r="318" spans="1:143" s="18" customFormat="1" x14ac:dyDescent="0.3">
      <c r="A318" s="1"/>
      <c r="B318" s="1"/>
      <c r="C318" s="6"/>
      <c r="D318" s="6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</row>
    <row r="319" spans="1:143" s="18" customFormat="1" x14ac:dyDescent="0.3">
      <c r="A319" s="1"/>
      <c r="B319" s="1"/>
      <c r="C319" s="6"/>
      <c r="D319" s="6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</row>
    <row r="320" spans="1:143" s="19" customFormat="1" x14ac:dyDescent="0.3">
      <c r="A320" s="1"/>
      <c r="B320" s="1"/>
      <c r="C320" s="6"/>
      <c r="D320" s="6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</row>
    <row r="321" spans="1:143" s="19" customFormat="1" x14ac:dyDescent="0.3">
      <c r="A321" s="1"/>
      <c r="B321" s="1"/>
      <c r="C321" s="6"/>
      <c r="D321" s="6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</row>
    <row r="322" spans="1:143" s="19" customFormat="1" x14ac:dyDescent="0.3">
      <c r="A322" s="1"/>
      <c r="B322" s="1"/>
      <c r="C322" s="6"/>
      <c r="D322" s="6"/>
      <c r="E322" s="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</row>
    <row r="323" spans="1:143" s="19" customFormat="1" x14ac:dyDescent="0.3">
      <c r="A323" s="1"/>
      <c r="B323" s="1"/>
      <c r="C323" s="6"/>
      <c r="D323" s="6"/>
      <c r="E323" s="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</row>
    <row r="324" spans="1:143" s="19" customFormat="1" x14ac:dyDescent="0.3">
      <c r="A324" s="1"/>
      <c r="B324" s="1"/>
      <c r="C324" s="6"/>
      <c r="D324" s="6"/>
      <c r="E324" s="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</row>
    <row r="325" spans="1:143" s="19" customFormat="1" x14ac:dyDescent="0.3">
      <c r="A325" s="1"/>
      <c r="B325" s="1"/>
      <c r="C325" s="6"/>
      <c r="D325" s="6"/>
      <c r="E325" s="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</row>
    <row r="326" spans="1:143" s="18" customFormat="1" x14ac:dyDescent="0.3">
      <c r="A326" s="1"/>
      <c r="B326" s="1"/>
      <c r="C326" s="6"/>
      <c r="D326" s="6"/>
      <c r="E326" s="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</row>
    <row r="327" spans="1:143" s="18" customFormat="1" x14ac:dyDescent="0.3">
      <c r="A327" s="1"/>
      <c r="B327" s="1"/>
      <c r="C327" s="6"/>
      <c r="D327" s="6"/>
      <c r="E327" s="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</row>
    <row r="328" spans="1:143" s="18" customFormat="1" x14ac:dyDescent="0.3">
      <c r="A328" s="1"/>
      <c r="B328" s="1"/>
      <c r="C328" s="6"/>
      <c r="D328" s="6"/>
      <c r="E328" s="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</row>
    <row r="329" spans="1:143" s="18" customFormat="1" x14ac:dyDescent="0.3">
      <c r="A329" s="1"/>
      <c r="B329" s="1"/>
      <c r="C329" s="6"/>
      <c r="D329" s="6"/>
      <c r="E329" s="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</row>
    <row r="330" spans="1:143" s="18" customFormat="1" x14ac:dyDescent="0.3">
      <c r="A330" s="1"/>
      <c r="B330" s="1"/>
      <c r="C330" s="6"/>
      <c r="D330" s="6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</row>
    <row r="331" spans="1:143" s="18" customFormat="1" x14ac:dyDescent="0.3">
      <c r="A331" s="1"/>
      <c r="B331" s="1"/>
      <c r="C331" s="6"/>
      <c r="D331" s="6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</row>
    <row r="332" spans="1:143" s="19" customFormat="1" x14ac:dyDescent="0.3">
      <c r="A332" s="1"/>
      <c r="B332" s="1"/>
      <c r="C332" s="6"/>
      <c r="D332" s="6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</row>
    <row r="333" spans="1:143" s="19" customFormat="1" x14ac:dyDescent="0.3">
      <c r="A333" s="1"/>
      <c r="B333" s="1"/>
      <c r="C333" s="6"/>
      <c r="D333" s="6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</row>
    <row r="334" spans="1:143" s="19" customFormat="1" x14ac:dyDescent="0.3">
      <c r="A334" s="1"/>
      <c r="B334" s="1"/>
      <c r="C334" s="6"/>
      <c r="D334" s="6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</row>
    <row r="335" spans="1:143" s="19" customFormat="1" x14ac:dyDescent="0.3">
      <c r="A335" s="1"/>
      <c r="B335" s="1"/>
      <c r="C335" s="6"/>
      <c r="D335" s="6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</row>
    <row r="336" spans="1:143" s="19" customFormat="1" x14ac:dyDescent="0.3">
      <c r="A336" s="1"/>
      <c r="B336" s="1"/>
      <c r="C336" s="6"/>
      <c r="D336" s="6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</row>
    <row r="337" spans="1:143" s="19" customFormat="1" x14ac:dyDescent="0.3">
      <c r="A337" s="1"/>
      <c r="B337" s="1"/>
      <c r="C337" s="6"/>
      <c r="D337" s="6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</row>
    <row r="338" spans="1:143" s="18" customFormat="1" x14ac:dyDescent="0.3">
      <c r="A338" s="1"/>
      <c r="B338" s="1"/>
      <c r="C338" s="6"/>
      <c r="D338" s="6"/>
      <c r="E338" s="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</row>
    <row r="339" spans="1:143" x14ac:dyDescent="0.3">
      <c r="C339" s="6"/>
      <c r="D339" s="6"/>
      <c r="E339" s="6"/>
    </row>
    <row r="340" spans="1:143" x14ac:dyDescent="0.3">
      <c r="C340" s="6"/>
      <c r="D340" s="6"/>
      <c r="E340" s="6"/>
    </row>
    <row r="341" spans="1:143" x14ac:dyDescent="0.3">
      <c r="C341" s="6"/>
      <c r="D341" s="6"/>
      <c r="E341" s="6"/>
    </row>
    <row r="342" spans="1:143" x14ac:dyDescent="0.3">
      <c r="C342" s="6"/>
      <c r="D342" s="6"/>
      <c r="E342" s="6"/>
    </row>
    <row r="343" spans="1:143" x14ac:dyDescent="0.3">
      <c r="C343" s="6"/>
      <c r="D343" s="6"/>
      <c r="E343" s="6"/>
    </row>
    <row r="344" spans="1:143" x14ac:dyDescent="0.3">
      <c r="C344" s="6"/>
      <c r="D344" s="6"/>
      <c r="E344" s="6"/>
    </row>
    <row r="345" spans="1:143" x14ac:dyDescent="0.3">
      <c r="C345" s="6"/>
      <c r="D345" s="6"/>
      <c r="E345" s="6"/>
    </row>
    <row r="346" spans="1:143" x14ac:dyDescent="0.3">
      <c r="C346" s="6"/>
      <c r="D346" s="6"/>
      <c r="E346" s="6"/>
    </row>
    <row r="347" spans="1:143" x14ac:dyDescent="0.3">
      <c r="C347" s="6"/>
      <c r="D347" s="6"/>
      <c r="E347" s="6"/>
    </row>
    <row r="348" spans="1:143" x14ac:dyDescent="0.3">
      <c r="C348" s="6"/>
      <c r="D348" s="6"/>
      <c r="E348" s="6"/>
    </row>
    <row r="349" spans="1:143" x14ac:dyDescent="0.3">
      <c r="C349" s="6"/>
      <c r="D349" s="6"/>
      <c r="E349" s="6"/>
    </row>
    <row r="350" spans="1:143" x14ac:dyDescent="0.3">
      <c r="C350" s="6"/>
      <c r="D350" s="6"/>
      <c r="E350" s="6"/>
    </row>
    <row r="351" spans="1:143" x14ac:dyDescent="0.3">
      <c r="C351" s="6"/>
      <c r="D351" s="6"/>
      <c r="E351" s="6"/>
    </row>
    <row r="352" spans="1:143" x14ac:dyDescent="0.3">
      <c r="C352" s="6"/>
      <c r="D352" s="6"/>
      <c r="E352" s="6"/>
    </row>
    <row r="353" spans="3:5" x14ac:dyDescent="0.3">
      <c r="C353" s="6"/>
      <c r="D353" s="6"/>
      <c r="E353" s="6"/>
    </row>
    <row r="354" spans="3:5" x14ac:dyDescent="0.3">
      <c r="C354" s="6"/>
      <c r="D354" s="6"/>
      <c r="E354" s="6"/>
    </row>
    <row r="355" spans="3:5" x14ac:dyDescent="0.3">
      <c r="C355" s="6"/>
      <c r="D355" s="6"/>
      <c r="E355" s="6"/>
    </row>
    <row r="356" spans="3:5" x14ac:dyDescent="0.3">
      <c r="C356" s="6"/>
      <c r="D356" s="6"/>
      <c r="E356" s="6"/>
    </row>
    <row r="357" spans="3:5" x14ac:dyDescent="0.3">
      <c r="C357" s="6"/>
      <c r="D357" s="6"/>
      <c r="E357" s="6"/>
    </row>
    <row r="358" spans="3:5" x14ac:dyDescent="0.3">
      <c r="C358" s="6"/>
      <c r="D358" s="6"/>
      <c r="E358" s="6"/>
    </row>
    <row r="359" spans="3:5" x14ac:dyDescent="0.3">
      <c r="C359" s="6"/>
      <c r="D359" s="6"/>
      <c r="E359" s="6"/>
    </row>
    <row r="360" spans="3:5" x14ac:dyDescent="0.3">
      <c r="C360" s="6"/>
      <c r="D360" s="6"/>
      <c r="E360" s="6"/>
    </row>
    <row r="361" spans="3:5" x14ac:dyDescent="0.3">
      <c r="C361" s="6"/>
      <c r="D361" s="6"/>
      <c r="E361" s="6"/>
    </row>
    <row r="362" spans="3:5" x14ac:dyDescent="0.3">
      <c r="C362" s="6"/>
      <c r="D362" s="6"/>
      <c r="E362" s="6"/>
    </row>
    <row r="363" spans="3:5" x14ac:dyDescent="0.3">
      <c r="C363" s="6"/>
      <c r="D363" s="6"/>
      <c r="E363" s="6"/>
    </row>
    <row r="364" spans="3:5" x14ac:dyDescent="0.3">
      <c r="C364" s="6"/>
      <c r="D364" s="6"/>
      <c r="E364" s="6"/>
    </row>
    <row r="365" spans="3:5" x14ac:dyDescent="0.3">
      <c r="C365" s="6"/>
      <c r="D365" s="6"/>
      <c r="E365" s="6"/>
    </row>
    <row r="366" spans="3:5" x14ac:dyDescent="0.3">
      <c r="C366" s="6"/>
      <c r="D366" s="6"/>
      <c r="E366" s="6"/>
    </row>
    <row r="367" spans="3:5" x14ac:dyDescent="0.3">
      <c r="C367" s="6"/>
      <c r="D367" s="6"/>
      <c r="E367" s="6"/>
    </row>
    <row r="368" spans="3:5" x14ac:dyDescent="0.3">
      <c r="C368" s="6"/>
      <c r="D368" s="6"/>
      <c r="E368" s="6"/>
    </row>
    <row r="369" spans="3:5" x14ac:dyDescent="0.3">
      <c r="C369" s="6"/>
      <c r="D369" s="6"/>
      <c r="E369" s="6"/>
    </row>
    <row r="370" spans="3:5" x14ac:dyDescent="0.3">
      <c r="C370" s="6"/>
      <c r="D370" s="6"/>
      <c r="E370" s="6"/>
    </row>
    <row r="371" spans="3:5" x14ac:dyDescent="0.3">
      <c r="C371" s="6"/>
      <c r="D371" s="6"/>
      <c r="E371" s="6"/>
    </row>
    <row r="372" spans="3:5" x14ac:dyDescent="0.3">
      <c r="C372" s="6"/>
      <c r="D372" s="6"/>
      <c r="E372" s="6"/>
    </row>
    <row r="373" spans="3:5" x14ac:dyDescent="0.3">
      <c r="C373" s="6"/>
      <c r="D373" s="6"/>
      <c r="E373" s="6"/>
    </row>
    <row r="374" spans="3:5" x14ac:dyDescent="0.3">
      <c r="C374" s="6"/>
      <c r="D374" s="6"/>
      <c r="E374" s="6"/>
    </row>
    <row r="375" spans="3:5" x14ac:dyDescent="0.3">
      <c r="C375" s="6"/>
      <c r="D375" s="6"/>
      <c r="E375" s="6"/>
    </row>
    <row r="376" spans="3:5" x14ac:dyDescent="0.3">
      <c r="C376" s="6"/>
      <c r="D376" s="6"/>
      <c r="E376" s="6"/>
    </row>
    <row r="377" spans="3:5" x14ac:dyDescent="0.3">
      <c r="C377" s="6"/>
      <c r="D377" s="6"/>
      <c r="E377" s="6"/>
    </row>
    <row r="378" spans="3:5" x14ac:dyDescent="0.3">
      <c r="C378" s="6"/>
      <c r="D378" s="6"/>
      <c r="E378" s="6"/>
    </row>
    <row r="379" spans="3:5" x14ac:dyDescent="0.3">
      <c r="C379" s="6"/>
      <c r="D379" s="6"/>
      <c r="E379" s="6"/>
    </row>
    <row r="380" spans="3:5" x14ac:dyDescent="0.3">
      <c r="C380" s="6"/>
      <c r="D380" s="6"/>
      <c r="E380" s="6"/>
    </row>
    <row r="381" spans="3:5" x14ac:dyDescent="0.3">
      <c r="C381" s="6"/>
      <c r="D381" s="6"/>
      <c r="E381" s="6"/>
    </row>
    <row r="382" spans="3:5" x14ac:dyDescent="0.3">
      <c r="C382" s="6"/>
      <c r="D382" s="6"/>
      <c r="E382" s="6"/>
    </row>
    <row r="383" spans="3:5" x14ac:dyDescent="0.3">
      <c r="C383" s="6"/>
      <c r="D383" s="6"/>
      <c r="E383" s="6"/>
    </row>
    <row r="384" spans="3:5" x14ac:dyDescent="0.3">
      <c r="C384" s="6"/>
      <c r="D384" s="6"/>
      <c r="E384" s="6"/>
    </row>
    <row r="385" spans="3:5" x14ac:dyDescent="0.3">
      <c r="C385" s="6"/>
      <c r="D385" s="6"/>
      <c r="E385" s="6"/>
    </row>
    <row r="386" spans="3:5" x14ac:dyDescent="0.3">
      <c r="C386" s="6"/>
      <c r="D386" s="6"/>
      <c r="E386" s="6"/>
    </row>
    <row r="387" spans="3:5" x14ac:dyDescent="0.3">
      <c r="C387" s="6"/>
      <c r="D387" s="6"/>
      <c r="E387" s="6"/>
    </row>
    <row r="388" spans="3:5" x14ac:dyDescent="0.3">
      <c r="C388" s="6"/>
      <c r="D388" s="6"/>
      <c r="E388" s="6"/>
    </row>
    <row r="389" spans="3:5" x14ac:dyDescent="0.3">
      <c r="C389" s="6"/>
      <c r="D389" s="6"/>
      <c r="E389" s="6"/>
    </row>
    <row r="390" spans="3:5" x14ac:dyDescent="0.3">
      <c r="C390" s="6"/>
      <c r="D390" s="6"/>
      <c r="E390" s="6"/>
    </row>
    <row r="391" spans="3:5" x14ac:dyDescent="0.3">
      <c r="C391" s="6"/>
      <c r="D391" s="6"/>
      <c r="E391" s="6"/>
    </row>
    <row r="392" spans="3:5" x14ac:dyDescent="0.3">
      <c r="C392" s="6"/>
      <c r="D392" s="6"/>
      <c r="E392" s="6"/>
    </row>
    <row r="393" spans="3:5" x14ac:dyDescent="0.3">
      <c r="C393" s="6"/>
      <c r="D393" s="6"/>
      <c r="E393" s="6"/>
    </row>
    <row r="394" spans="3:5" x14ac:dyDescent="0.3">
      <c r="C394" s="6"/>
      <c r="D394" s="6"/>
      <c r="E394" s="6"/>
    </row>
    <row r="395" spans="3:5" x14ac:dyDescent="0.3">
      <c r="C395" s="6"/>
      <c r="D395" s="6"/>
      <c r="E395" s="6"/>
    </row>
    <row r="396" spans="3:5" x14ac:dyDescent="0.3">
      <c r="C396" s="6"/>
      <c r="D396" s="6"/>
      <c r="E396" s="6"/>
    </row>
    <row r="397" spans="3:5" x14ac:dyDescent="0.3">
      <c r="C397" s="6"/>
      <c r="D397" s="6"/>
      <c r="E397" s="6"/>
    </row>
    <row r="398" spans="3:5" x14ac:dyDescent="0.3">
      <c r="C398" s="6"/>
      <c r="D398" s="6"/>
      <c r="E398" s="6"/>
    </row>
    <row r="399" spans="3:5" x14ac:dyDescent="0.3">
      <c r="C399" s="6"/>
      <c r="D399" s="6"/>
      <c r="E399" s="6"/>
    </row>
    <row r="400" spans="3:5" x14ac:dyDescent="0.3">
      <c r="C400" s="6"/>
      <c r="D400" s="6"/>
      <c r="E400" s="6"/>
    </row>
    <row r="401" spans="3:5" x14ac:dyDescent="0.3">
      <c r="C401" s="6"/>
      <c r="D401" s="6"/>
      <c r="E401" s="6"/>
    </row>
    <row r="402" spans="3:5" x14ac:dyDescent="0.3">
      <c r="C402" s="6"/>
      <c r="D402" s="6"/>
      <c r="E402" s="6"/>
    </row>
    <row r="403" spans="3:5" x14ac:dyDescent="0.3">
      <c r="C403" s="6"/>
      <c r="D403" s="6"/>
      <c r="E403" s="6"/>
    </row>
    <row r="404" spans="3:5" x14ac:dyDescent="0.3">
      <c r="C404" s="6"/>
      <c r="D404" s="6"/>
      <c r="E404" s="6"/>
    </row>
    <row r="405" spans="3:5" x14ac:dyDescent="0.3">
      <c r="C405" s="6"/>
      <c r="D405" s="6"/>
      <c r="E405" s="6"/>
    </row>
    <row r="406" spans="3:5" x14ac:dyDescent="0.3">
      <c r="C406" s="6"/>
      <c r="D406" s="6"/>
      <c r="E406" s="6"/>
    </row>
    <row r="407" spans="3:5" x14ac:dyDescent="0.3">
      <c r="C407" s="6"/>
      <c r="D407" s="6"/>
      <c r="E407" s="6"/>
    </row>
    <row r="408" spans="3:5" x14ac:dyDescent="0.3">
      <c r="C408" s="6"/>
      <c r="D408" s="6"/>
      <c r="E408" s="6"/>
    </row>
    <row r="409" spans="3:5" x14ac:dyDescent="0.3">
      <c r="C409" s="6"/>
      <c r="D409" s="6"/>
      <c r="E409" s="6"/>
    </row>
    <row r="410" spans="3:5" x14ac:dyDescent="0.3">
      <c r="C410" s="6"/>
      <c r="D410" s="6"/>
      <c r="E410" s="6"/>
    </row>
    <row r="411" spans="3:5" x14ac:dyDescent="0.3">
      <c r="C411" s="6"/>
      <c r="D411" s="6"/>
      <c r="E411" s="6"/>
    </row>
    <row r="412" spans="3:5" x14ac:dyDescent="0.3">
      <c r="C412" s="6"/>
      <c r="D412" s="6"/>
      <c r="E412" s="6"/>
    </row>
    <row r="413" spans="3:5" x14ac:dyDescent="0.3">
      <c r="C413" s="6"/>
      <c r="D413" s="6"/>
      <c r="E413" s="6"/>
    </row>
    <row r="414" spans="3:5" x14ac:dyDescent="0.3">
      <c r="C414" s="6"/>
      <c r="D414" s="6"/>
      <c r="E414" s="6"/>
    </row>
    <row r="415" spans="3:5" x14ac:dyDescent="0.3">
      <c r="C415" s="6"/>
      <c r="D415" s="6"/>
      <c r="E415" s="6"/>
    </row>
    <row r="416" spans="3:5" x14ac:dyDescent="0.3">
      <c r="C416" s="6"/>
      <c r="D416" s="6"/>
      <c r="E416" s="6"/>
    </row>
    <row r="417" spans="3:5" x14ac:dyDescent="0.3">
      <c r="C417" s="6"/>
      <c r="D417" s="6"/>
      <c r="E417" s="6"/>
    </row>
    <row r="418" spans="3:5" x14ac:dyDescent="0.3">
      <c r="C418" s="6"/>
      <c r="D418" s="6"/>
      <c r="E418" s="6"/>
    </row>
    <row r="419" spans="3:5" x14ac:dyDescent="0.3">
      <c r="C419" s="6"/>
      <c r="D419" s="6"/>
      <c r="E419" s="6"/>
    </row>
    <row r="420" spans="3:5" x14ac:dyDescent="0.3">
      <c r="C420" s="6"/>
      <c r="D420" s="6"/>
      <c r="E420" s="6"/>
    </row>
    <row r="421" spans="3:5" x14ac:dyDescent="0.3">
      <c r="C421" s="6"/>
      <c r="D421" s="6"/>
      <c r="E421" s="6"/>
    </row>
    <row r="422" spans="3:5" x14ac:dyDescent="0.3">
      <c r="C422" s="6"/>
      <c r="D422" s="6"/>
      <c r="E422" s="6"/>
    </row>
    <row r="423" spans="3:5" x14ac:dyDescent="0.3">
      <c r="C423" s="6"/>
      <c r="D423" s="6"/>
      <c r="E423" s="6"/>
    </row>
    <row r="424" spans="3:5" x14ac:dyDescent="0.3">
      <c r="C424" s="6"/>
      <c r="D424" s="6"/>
      <c r="E424" s="6"/>
    </row>
    <row r="425" spans="3:5" x14ac:dyDescent="0.3">
      <c r="C425" s="6"/>
      <c r="D425" s="6"/>
      <c r="E425" s="6"/>
    </row>
    <row r="426" spans="3:5" x14ac:dyDescent="0.3">
      <c r="C426" s="6"/>
      <c r="D426" s="6"/>
      <c r="E426" s="6"/>
    </row>
    <row r="427" spans="3:5" x14ac:dyDescent="0.3">
      <c r="C427" s="6"/>
      <c r="D427" s="6"/>
      <c r="E427" s="6"/>
    </row>
    <row r="428" spans="3:5" x14ac:dyDescent="0.3">
      <c r="C428" s="6"/>
      <c r="D428" s="6"/>
      <c r="E428" s="6"/>
    </row>
    <row r="429" spans="3:5" x14ac:dyDescent="0.3">
      <c r="C429" s="6"/>
      <c r="D429" s="6"/>
      <c r="E429" s="6"/>
    </row>
    <row r="430" spans="3:5" x14ac:dyDescent="0.3">
      <c r="C430" s="6"/>
      <c r="D430" s="6"/>
      <c r="E430" s="6"/>
    </row>
    <row r="431" spans="3:5" x14ac:dyDescent="0.3">
      <c r="C431" s="6"/>
      <c r="D431" s="6"/>
      <c r="E431" s="6"/>
    </row>
    <row r="432" spans="3:5" x14ac:dyDescent="0.3">
      <c r="C432" s="6"/>
      <c r="D432" s="6"/>
      <c r="E432" s="6"/>
    </row>
    <row r="433" spans="3:5" x14ac:dyDescent="0.3">
      <c r="C433" s="6"/>
      <c r="D433" s="6"/>
      <c r="E433" s="6"/>
    </row>
    <row r="434" spans="3:5" x14ac:dyDescent="0.3">
      <c r="C434" s="6"/>
      <c r="D434" s="6"/>
      <c r="E434" s="6"/>
    </row>
    <row r="435" spans="3:5" x14ac:dyDescent="0.3">
      <c r="C435" s="6"/>
      <c r="D435" s="6"/>
      <c r="E435" s="6"/>
    </row>
    <row r="436" spans="3:5" x14ac:dyDescent="0.3">
      <c r="C436" s="6"/>
      <c r="D436" s="6"/>
      <c r="E436" s="6"/>
    </row>
    <row r="437" spans="3:5" x14ac:dyDescent="0.3">
      <c r="C437" s="6"/>
      <c r="D437" s="6"/>
      <c r="E437" s="6"/>
    </row>
    <row r="438" spans="3:5" x14ac:dyDescent="0.3">
      <c r="C438" s="6"/>
      <c r="D438" s="6"/>
      <c r="E438" s="6"/>
    </row>
    <row r="439" spans="3:5" x14ac:dyDescent="0.3">
      <c r="C439" s="6"/>
      <c r="D439" s="6"/>
      <c r="E439" s="6"/>
    </row>
    <row r="440" spans="3:5" x14ac:dyDescent="0.3">
      <c r="C440" s="6"/>
      <c r="D440" s="6"/>
      <c r="E440" s="6"/>
    </row>
    <row r="441" spans="3:5" x14ac:dyDescent="0.3">
      <c r="C441" s="6"/>
      <c r="D441" s="6"/>
      <c r="E441" s="6"/>
    </row>
    <row r="442" spans="3:5" x14ac:dyDescent="0.3">
      <c r="C442" s="6"/>
      <c r="D442" s="6"/>
      <c r="E442" s="6"/>
    </row>
    <row r="443" spans="3:5" x14ac:dyDescent="0.3">
      <c r="C443" s="6"/>
      <c r="D443" s="6"/>
      <c r="E443" s="6"/>
    </row>
    <row r="444" spans="3:5" x14ac:dyDescent="0.3">
      <c r="C444" s="6"/>
      <c r="D444" s="6"/>
      <c r="E444" s="6"/>
    </row>
    <row r="445" spans="3:5" x14ac:dyDescent="0.3">
      <c r="C445" s="6"/>
      <c r="D445" s="6"/>
      <c r="E445" s="6"/>
    </row>
    <row r="446" spans="3:5" x14ac:dyDescent="0.3">
      <c r="C446" s="6"/>
      <c r="D446" s="6"/>
      <c r="E446" s="6"/>
    </row>
    <row r="447" spans="3:5" x14ac:dyDescent="0.3">
      <c r="C447" s="6"/>
      <c r="D447" s="6"/>
      <c r="E447" s="6"/>
    </row>
    <row r="448" spans="3:5" x14ac:dyDescent="0.3">
      <c r="C448" s="6"/>
      <c r="D448" s="6"/>
      <c r="E448" s="6"/>
    </row>
    <row r="449" spans="3:5" x14ac:dyDescent="0.3">
      <c r="C449" s="6"/>
      <c r="D449" s="6"/>
      <c r="E449" s="6"/>
    </row>
    <row r="450" spans="3:5" x14ac:dyDescent="0.3">
      <c r="C450" s="6"/>
      <c r="D450" s="6"/>
      <c r="E450" s="6"/>
    </row>
    <row r="451" spans="3:5" x14ac:dyDescent="0.3">
      <c r="C451" s="6"/>
      <c r="D451" s="6"/>
      <c r="E451" s="6"/>
    </row>
    <row r="452" spans="3:5" x14ac:dyDescent="0.3">
      <c r="C452" s="6"/>
      <c r="D452" s="6"/>
      <c r="E452" s="6"/>
    </row>
    <row r="453" spans="3:5" x14ac:dyDescent="0.3">
      <c r="C453" s="6"/>
      <c r="D453" s="6"/>
      <c r="E453" s="6"/>
    </row>
    <row r="454" spans="3:5" x14ac:dyDescent="0.3">
      <c r="C454" s="6"/>
      <c r="D454" s="6"/>
      <c r="E454" s="6"/>
    </row>
    <row r="455" spans="3:5" x14ac:dyDescent="0.3">
      <c r="C455" s="6"/>
      <c r="D455" s="6"/>
      <c r="E455" s="6"/>
    </row>
    <row r="456" spans="3:5" x14ac:dyDescent="0.3">
      <c r="C456" s="6"/>
      <c r="D456" s="6"/>
      <c r="E456" s="6"/>
    </row>
    <row r="457" spans="3:5" x14ac:dyDescent="0.3">
      <c r="C457" s="6"/>
      <c r="D457" s="6"/>
      <c r="E457" s="6"/>
    </row>
    <row r="458" spans="3:5" x14ac:dyDescent="0.3">
      <c r="C458" s="6"/>
      <c r="D458" s="6"/>
      <c r="E458" s="6"/>
    </row>
    <row r="459" spans="3:5" x14ac:dyDescent="0.3">
      <c r="C459" s="6"/>
      <c r="D459" s="6"/>
      <c r="E459" s="6"/>
    </row>
    <row r="460" spans="3:5" x14ac:dyDescent="0.3">
      <c r="C460" s="6"/>
      <c r="D460" s="6"/>
      <c r="E460" s="6"/>
    </row>
    <row r="461" spans="3:5" x14ac:dyDescent="0.3">
      <c r="C461" s="6"/>
      <c r="D461" s="6"/>
      <c r="E461" s="6"/>
    </row>
    <row r="462" spans="3:5" x14ac:dyDescent="0.3">
      <c r="C462" s="6"/>
      <c r="D462" s="6"/>
      <c r="E462" s="6"/>
    </row>
    <row r="463" spans="3:5" x14ac:dyDescent="0.3">
      <c r="C463" s="6"/>
      <c r="D463" s="6"/>
      <c r="E463" s="6"/>
    </row>
    <row r="464" spans="3:5" x14ac:dyDescent="0.3">
      <c r="C464" s="6"/>
      <c r="D464" s="6"/>
      <c r="E464" s="6"/>
    </row>
    <row r="465" spans="3:5" x14ac:dyDescent="0.3">
      <c r="C465" s="6"/>
      <c r="D465" s="6"/>
      <c r="E465" s="6"/>
    </row>
    <row r="466" spans="3:5" x14ac:dyDescent="0.3">
      <c r="C466" s="6"/>
      <c r="D466" s="6"/>
      <c r="E466" s="6"/>
    </row>
    <row r="467" spans="3:5" x14ac:dyDescent="0.3">
      <c r="C467" s="6"/>
      <c r="D467" s="6"/>
      <c r="E467" s="6"/>
    </row>
    <row r="468" spans="3:5" x14ac:dyDescent="0.3">
      <c r="C468" s="6"/>
      <c r="D468" s="6"/>
      <c r="E468" s="6"/>
    </row>
    <row r="469" spans="3:5" x14ac:dyDescent="0.3">
      <c r="C469" s="6"/>
      <c r="D469" s="6"/>
      <c r="E469" s="6"/>
    </row>
    <row r="470" spans="3:5" x14ac:dyDescent="0.3">
      <c r="C470" s="6"/>
      <c r="D470" s="6"/>
      <c r="E470" s="6"/>
    </row>
    <row r="471" spans="3:5" x14ac:dyDescent="0.3">
      <c r="C471" s="6"/>
      <c r="D471" s="6"/>
      <c r="E471" s="6"/>
    </row>
    <row r="472" spans="3:5" x14ac:dyDescent="0.3">
      <c r="C472" s="6"/>
      <c r="D472" s="6"/>
      <c r="E472" s="6"/>
    </row>
    <row r="473" spans="3:5" x14ac:dyDescent="0.3">
      <c r="C473" s="6"/>
      <c r="D473" s="6"/>
      <c r="E473" s="6"/>
    </row>
    <row r="474" spans="3:5" x14ac:dyDescent="0.3">
      <c r="C474" s="6"/>
      <c r="D474" s="6"/>
      <c r="E474" s="6"/>
    </row>
    <row r="475" spans="3:5" x14ac:dyDescent="0.3">
      <c r="C475" s="6"/>
      <c r="D475" s="6"/>
      <c r="E475" s="6"/>
    </row>
    <row r="476" spans="3:5" x14ac:dyDescent="0.3">
      <c r="C476" s="6"/>
      <c r="D476" s="6"/>
      <c r="E476" s="6"/>
    </row>
    <row r="477" spans="3:5" x14ac:dyDescent="0.3">
      <c r="C477" s="6"/>
      <c r="D477" s="6"/>
      <c r="E477" s="6"/>
    </row>
    <row r="478" spans="3:5" x14ac:dyDescent="0.3">
      <c r="C478" s="6"/>
      <c r="D478" s="6"/>
      <c r="E478" s="6"/>
    </row>
    <row r="479" spans="3:5" x14ac:dyDescent="0.3">
      <c r="C479" s="6"/>
      <c r="D479" s="6"/>
      <c r="E479" s="6"/>
    </row>
    <row r="480" spans="3:5" x14ac:dyDescent="0.3">
      <c r="C480" s="6"/>
      <c r="D480" s="6"/>
      <c r="E480" s="6"/>
    </row>
    <row r="481" spans="3:5" x14ac:dyDescent="0.3">
      <c r="C481" s="6"/>
      <c r="D481" s="6"/>
      <c r="E481" s="6"/>
    </row>
    <row r="482" spans="3:5" x14ac:dyDescent="0.3">
      <c r="C482" s="6"/>
      <c r="D482" s="6"/>
      <c r="E482" s="6"/>
    </row>
    <row r="483" spans="3:5" x14ac:dyDescent="0.3">
      <c r="C483" s="6"/>
      <c r="D483" s="6"/>
      <c r="E483" s="6"/>
    </row>
    <row r="484" spans="3:5" x14ac:dyDescent="0.3">
      <c r="C484" s="6"/>
      <c r="D484" s="6"/>
      <c r="E484" s="6"/>
    </row>
    <row r="485" spans="3:5" x14ac:dyDescent="0.3">
      <c r="C485" s="6"/>
      <c r="D485" s="6"/>
      <c r="E485" s="6"/>
    </row>
    <row r="486" spans="3:5" x14ac:dyDescent="0.3">
      <c r="C486" s="6"/>
      <c r="D486" s="6"/>
      <c r="E486" s="6"/>
    </row>
    <row r="487" spans="3:5" x14ac:dyDescent="0.3">
      <c r="C487" s="6"/>
      <c r="D487" s="6"/>
      <c r="E487" s="6"/>
    </row>
    <row r="488" spans="3:5" x14ac:dyDescent="0.3">
      <c r="C488" s="6"/>
      <c r="D488" s="6"/>
      <c r="E488" s="6"/>
    </row>
    <row r="489" spans="3:5" x14ac:dyDescent="0.3">
      <c r="C489" s="6"/>
      <c r="D489" s="6"/>
      <c r="E489" s="6"/>
    </row>
    <row r="490" spans="3:5" x14ac:dyDescent="0.3">
      <c r="C490" s="6"/>
      <c r="D490" s="6"/>
      <c r="E490" s="6"/>
    </row>
    <row r="491" spans="3:5" x14ac:dyDescent="0.3">
      <c r="C491" s="6"/>
      <c r="D491" s="6"/>
      <c r="E491" s="6"/>
    </row>
    <row r="492" spans="3:5" x14ac:dyDescent="0.3">
      <c r="C492" s="6"/>
      <c r="D492" s="6"/>
      <c r="E492" s="6"/>
    </row>
    <row r="493" spans="3:5" x14ac:dyDescent="0.3">
      <c r="C493" s="6"/>
      <c r="D493" s="6"/>
      <c r="E493" s="6"/>
    </row>
    <row r="494" spans="3:5" x14ac:dyDescent="0.3">
      <c r="C494" s="6"/>
      <c r="D494" s="6"/>
      <c r="E494" s="6"/>
    </row>
    <row r="495" spans="3:5" x14ac:dyDescent="0.3">
      <c r="C495" s="6"/>
      <c r="D495" s="6"/>
      <c r="E495" s="6"/>
    </row>
    <row r="496" spans="3:5" x14ac:dyDescent="0.3">
      <c r="C496" s="6"/>
      <c r="D496" s="6"/>
      <c r="E496" s="6"/>
    </row>
    <row r="497" spans="3:5" x14ac:dyDescent="0.3">
      <c r="C497" s="6"/>
      <c r="D497" s="6"/>
      <c r="E497" s="6"/>
    </row>
    <row r="498" spans="3:5" x14ac:dyDescent="0.3">
      <c r="C498" s="6"/>
      <c r="D498" s="6"/>
      <c r="E498" s="6"/>
    </row>
    <row r="499" spans="3:5" x14ac:dyDescent="0.3">
      <c r="C499" s="6"/>
      <c r="D499" s="6"/>
      <c r="E499" s="6"/>
    </row>
    <row r="500" spans="3:5" x14ac:dyDescent="0.3">
      <c r="C500" s="6"/>
      <c r="D500" s="6"/>
      <c r="E500" s="6"/>
    </row>
    <row r="501" spans="3:5" x14ac:dyDescent="0.3">
      <c r="C501" s="6"/>
      <c r="D501" s="6"/>
      <c r="E501" s="6"/>
    </row>
    <row r="502" spans="3:5" x14ac:dyDescent="0.3">
      <c r="C502" s="6"/>
      <c r="D502" s="6"/>
      <c r="E502" s="6"/>
    </row>
    <row r="503" spans="3:5" x14ac:dyDescent="0.3">
      <c r="C503" s="6"/>
      <c r="D503" s="6"/>
      <c r="E503" s="6"/>
    </row>
    <row r="504" spans="3:5" x14ac:dyDescent="0.3">
      <c r="C504" s="6"/>
      <c r="D504" s="6"/>
      <c r="E504" s="6"/>
    </row>
    <row r="505" spans="3:5" x14ac:dyDescent="0.3">
      <c r="C505" s="6"/>
      <c r="D505" s="6"/>
      <c r="E505" s="6"/>
    </row>
    <row r="506" spans="3:5" x14ac:dyDescent="0.3">
      <c r="C506" s="6"/>
      <c r="D506" s="6"/>
      <c r="E506" s="6"/>
    </row>
    <row r="507" spans="3:5" x14ac:dyDescent="0.3">
      <c r="C507" s="6"/>
      <c r="D507" s="6"/>
      <c r="E507" s="6"/>
    </row>
  </sheetData>
  <pageMargins left="0.7" right="0.7" top="0.75" bottom="0.75" header="0.3" footer="0.3"/>
  <pageSetup paperSize="9" orientation="portrait" r:id="rId1"/>
  <ignoredErrors>
    <ignoredError sqref="C11:AU11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F58C39D9DC2F42B54B48A1BFDE0697" ma:contentTypeVersion="11" ma:contentTypeDescription="Crear nuevo documento." ma:contentTypeScope="" ma:versionID="943afd90e8e0257b494b2eecf307205e">
  <xsd:schema xmlns:xsd="http://www.w3.org/2001/XMLSchema" xmlns:xs="http://www.w3.org/2001/XMLSchema" xmlns:p="http://schemas.microsoft.com/office/2006/metadata/properties" xmlns:ns2="688a9067-e10a-4e36-9b1c-d5f7f0736641" xmlns:ns3="36f51209-9f10-4f36-8de1-59c1c6f75fc5" targetNamespace="http://schemas.microsoft.com/office/2006/metadata/properties" ma:root="true" ma:fieldsID="258a6db349944f7b959697c570aef60a" ns2:_="" ns3:_="">
    <xsd:import namespace="688a9067-e10a-4e36-9b1c-d5f7f0736641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a9067-e10a-4e36-9b1c-d5f7f0736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688a9067-e10a-4e36-9b1c-d5f7f07366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D83942-AD68-4D1B-9CD2-E7E3940691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a9067-e10a-4e36-9b1c-d5f7f0736641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224A54-FAE7-4BF3-9C90-F7C9F2560A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D89FFD-DE00-4510-B9B5-B114AF972A23}">
  <ds:schemaRefs>
    <ds:schemaRef ds:uri="http://purl.org/dc/dcmitype/"/>
    <ds:schemaRef ds:uri="http://schemas.microsoft.com/office/2006/metadata/properties"/>
    <ds:schemaRef ds:uri="688a9067-e10a-4e36-9b1c-d5f7f0736641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6f51209-9f10-4f36-8de1-59c1c6f75f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Lesce</dc:creator>
  <cp:lastModifiedBy>Agustina Lesce</cp:lastModifiedBy>
  <dcterms:created xsi:type="dcterms:W3CDTF">2022-04-12T18:18:42Z</dcterms:created>
  <dcterms:modified xsi:type="dcterms:W3CDTF">2026-10-16T13:25:07Z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0x010100E6F58C39D9DC2F42B54B48A1BFDE0697</vt:lpwstr>
  </property>
  <property fmtid="{D5CDD505-2E9C-101B-9397-08002B2CF9AE}" pid="3" name="MediaServiceImageTags">
    <vt:lpwstr/>
  </property>
</Properties>
</file>